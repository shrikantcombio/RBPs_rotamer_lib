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Chi1_all_PRDBv3.0" sheetId="1" state="visible" r:id="rId2"/>
    <sheet name="chi1_int" sheetId="2" state="visible" r:id="rId3"/>
    <sheet name="chi1_nonint" sheetId="3" state="visible" r:id="rId4"/>
    <sheet name="Chi2_all_PRDBv3.0" sheetId="4" state="visible" r:id="rId5"/>
    <sheet name="chi2_int" sheetId="5" state="visible" r:id="rId6"/>
    <sheet name="chi2_nonint" sheetId="6" state="visible" r:id="rId7"/>
    <sheet name="Chi3_all_PRDBv3.0" sheetId="7" state="visible" r:id="rId8"/>
    <sheet name="chi3_int" sheetId="8" state="visible" r:id="rId9"/>
    <sheet name="chi3_nonint" sheetId="9" state="visible" r:id="rId10"/>
    <sheet name="Chi4_all_PRDBv3.0" sheetId="10" state="visible" r:id="rId11"/>
    <sheet name="chi4_int" sheetId="11" state="visible" r:id="rId12"/>
    <sheet name="chi4_nonint" sheetId="12" state="visible" r:id="rId13"/>
    <sheet name="Chi5_all_PRDBv3.0" sheetId="13" state="visible" r:id="rId14"/>
    <sheet name="chi5_int" sheetId="14" state="visible" r:id="rId15"/>
    <sheet name="chi5_nonint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<sst xmlns="http://schemas.openxmlformats.org/spreadsheetml/2006/main" count="708" uniqueCount="45">
  <si>
    <t xml:space="preserve">comment</t>
  </si>
  <si>
    <t xml:space="preserve">No of Residues</t>
  </si>
  <si>
    <t xml:space="preserve">% of On-rotamers</t>
  </si>
  <si>
    <t xml:space="preserve">% of Off-rotamers</t>
  </si>
  <si>
    <t xml:space="preserve">#</t>
  </si>
  <si>
    <t xml:space="preserve">Bound</t>
  </si>
  <si>
    <t xml:space="preserve">Unbound</t>
  </si>
  <si>
    <t xml:space="preserve">Int</t>
  </si>
  <si>
    <t xml:space="preserve">non int</t>
  </si>
  <si>
    <t xml:space="preserve">Amino acid</t>
  </si>
  <si>
    <t xml:space="preserve">Total</t>
  </si>
  <si>
    <t xml:space="preserve">p</t>
  </si>
  <si>
    <t xml:space="preserve">t</t>
  </si>
  <si>
    <t xml:space="preserve">m</t>
  </si>
  <si>
    <t xml:space="preserve">T</t>
  </si>
  <si>
    <t xml:space="preserve">P</t>
  </si>
  <si>
    <t xml:space="preserve">M</t>
  </si>
  <si>
    <t xml:space="preserve">ARG</t>
  </si>
  <si>
    <t xml:space="preserve">ASN</t>
  </si>
  <si>
    <t xml:space="preserve">ASP</t>
  </si>
  <si>
    <t xml:space="preserve">GLU</t>
  </si>
  <si>
    <t xml:space="preserve">GLN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</si>
  <si>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</si>
  <si>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</si>
  <si>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</si>
  <si>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</si>
  <si>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</si>
  <si>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</si>
  <si>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</si>
  <si>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TRP</t>
  </si>
  <si>
    <t xml:space="preserve">TYR</t>
  </si>
  <si>
    <t xml:space="preserve">CYS</t>
  </si>
  <si>
    <t xml:space="preserve">SER</t>
  </si>
  <si>
    <t xml:space="preserve">THR</t>
  </si>
  <si>
    <t xml:space="preserve">VAL</t>
  </si>
  <si>
    <t xml:space="preserve">Total </t>
  </si>
  <si>
    <t xml:space="preserve">Amino_acid</t>
  </si>
  <si>
    <t xml:space="preserve">forms</t>
  </si>
  <si>
    <t xml:space="preserve">B</t>
  </si>
  <si>
    <t xml:space="preserve">U</t>
  </si>
  <si>
    <t xml:space="preserve">Comment</t>
  </si>
  <si>
    <t xml:space="preserve">ARG_I</t>
  </si>
  <si>
    <t xml:space="preserve">ARG_N</t>
  </si>
  <si>
    <t xml:space="preserve">LYS_I</t>
  </si>
  <si>
    <t xml:space="preserve">LYS_N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</si>
</sst>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General"/>
    <numFmt numFmtId="168" formatCode="0%"/>
    <numFmt numFmtId="169" formatCode="[$-4009]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name val="Times New Roman"/>
      <family val="1"/>
      <charset val="1"/>
    </font>
    <font>
      <sz val="12"/>
      <name val="Arial"/>
      <family val="2"/>
      <charset val="1"/>
    </font>
    <font>
      <sz val="10.5"/>
      <color rgb="FF000000"/>
      <name val="Times New Roman"/>
      <family val="1"/>
      <charset val="1"/>
    </font>
    <font>
      <sz val="10"/>
      <color rgb="FF000000"/>
      <name val="Arial Narrow"/>
      <family val="2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sz val="12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BBE33D"/>
        <bgColor rgb="FF9BBB59"/>
      </patternFill>
    </fill>
    <fill>
      <patternFill patternType="solid">
        <fgColor rgb="FFB7B3CA"/>
        <bgColor rgb="FFCCCCFF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2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4BACC6"/>
      <rgbColor rgb="FF9BBB59"/>
      <rgbColor rgb="FFBBE33D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chi1_int!$C$1:$C$1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chi1_int!$C$2:$C$37</c:f>
              <c:numCache>
                <c:formatCode>General</c:formatCode>
                <c:ptCount val="36"/>
                <c:pt idx="0">
                  <c:v>11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8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9</c:v>
                </c:pt>
                <c:pt idx="20">
                  <c:v>1</c:v>
                </c:pt>
                <c:pt idx="21">
                  <c:v>0</c:v>
                </c:pt>
                <c:pt idx="22">
                  <c:v>4</c:v>
                </c:pt>
                <c:pt idx="23">
                  <c:v>1</c:v>
                </c:pt>
                <c:pt idx="24">
                  <c:v>212</c:v>
                </c:pt>
                <c:pt idx="25">
                  <c:v>206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</c:numCache>
            </c:numRef>
          </c:val>
        </c:ser>
        <c:ser>
          <c:idx val="1"/>
          <c:order val="1"/>
          <c:tx>
            <c:strRef>
              <c:f>chi1_int!$D$1:$D$1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chi1_int!$D$2:$D$37</c:f>
              <c:numCache>
                <c:formatCode>General</c:formatCode>
                <c:ptCount val="36"/>
                <c:pt idx="0">
                  <c:v>72</c:v>
                </c:pt>
                <c:pt idx="1">
                  <c:v>80</c:v>
                </c:pt>
                <c:pt idx="2">
                  <c:v>57</c:v>
                </c:pt>
                <c:pt idx="3">
                  <c:v>56</c:v>
                </c:pt>
                <c:pt idx="4">
                  <c:v>68</c:v>
                </c:pt>
                <c:pt idx="5">
                  <c:v>61</c:v>
                </c:pt>
                <c:pt idx="6">
                  <c:v>25</c:v>
                </c:pt>
                <c:pt idx="7">
                  <c:v>19</c:v>
                </c:pt>
                <c:pt idx="8">
                  <c:v>31</c:v>
                </c:pt>
                <c:pt idx="9">
                  <c:v>40</c:v>
                </c:pt>
                <c:pt idx="10">
                  <c:v>14</c:v>
                </c:pt>
                <c:pt idx="11">
                  <c:v>26</c:v>
                </c:pt>
                <c:pt idx="12">
                  <c:v>40</c:v>
                </c:pt>
                <c:pt idx="13">
                  <c:v>47</c:v>
                </c:pt>
                <c:pt idx="14">
                  <c:v>35</c:v>
                </c:pt>
                <c:pt idx="15">
                  <c:v>43</c:v>
                </c:pt>
                <c:pt idx="16">
                  <c:v>6</c:v>
                </c:pt>
                <c:pt idx="17">
                  <c:v>7</c:v>
                </c:pt>
                <c:pt idx="18">
                  <c:v>51</c:v>
                </c:pt>
                <c:pt idx="19">
                  <c:v>60</c:v>
                </c:pt>
                <c:pt idx="20">
                  <c:v>9</c:v>
                </c:pt>
                <c:pt idx="21">
                  <c:v>9</c:v>
                </c:pt>
                <c:pt idx="22">
                  <c:v>38</c:v>
                </c:pt>
                <c:pt idx="23">
                  <c:v>38</c:v>
                </c:pt>
                <c:pt idx="24">
                  <c:v>48</c:v>
                </c:pt>
                <c:pt idx="25">
                  <c:v>46</c:v>
                </c:pt>
                <c:pt idx="26">
                  <c:v>211</c:v>
                </c:pt>
                <c:pt idx="27">
                  <c:v>193</c:v>
                </c:pt>
                <c:pt idx="28">
                  <c:v>186</c:v>
                </c:pt>
                <c:pt idx="29">
                  <c:v>185</c:v>
                </c:pt>
                <c:pt idx="30">
                  <c:v>14</c:v>
                </c:pt>
                <c:pt idx="31">
                  <c:v>14</c:v>
                </c:pt>
                <c:pt idx="32">
                  <c:v>40</c:v>
                </c:pt>
                <c:pt idx="33">
                  <c:v>37</c:v>
                </c:pt>
                <c:pt idx="34">
                  <c:v>33</c:v>
                </c:pt>
                <c:pt idx="35">
                  <c:v>37</c:v>
                </c:pt>
              </c:numCache>
            </c:numRef>
          </c:val>
        </c:ser>
        <c:ser>
          <c:idx val="2"/>
          <c:order val="2"/>
          <c:tx>
            <c:strRef>
              <c:f>chi1_int!$E$1:$E$1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chi1_int!$E$2:$E$37</c:f>
              <c:numCache>
                <c:formatCode>General</c:formatCode>
                <c:ptCount val="36"/>
                <c:pt idx="0">
                  <c:v>10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14</c:v>
                </c:pt>
                <c:pt idx="27">
                  <c:v>14</c:v>
                </c:pt>
                <c:pt idx="28">
                  <c:v>5</c:v>
                </c:pt>
                <c:pt idx="29">
                  <c:v>6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3</c:v>
                </c:pt>
                <c:pt idx="35">
                  <c:v>4</c:v>
                </c:pt>
              </c:numCache>
            </c:numRef>
          </c:val>
        </c:ser>
        <c:ser>
          <c:idx val="3"/>
          <c:order val="3"/>
          <c:tx>
            <c:strRef>
              <c:f>chi1_int!$F$1:$F$1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chi1_int!$F$2:$F$37</c:f>
              <c:numCache>
                <c:formatCode>General</c:formatCode>
                <c:ptCount val="36"/>
                <c:pt idx="0">
                  <c:v>255</c:v>
                </c:pt>
                <c:pt idx="1">
                  <c:v>242</c:v>
                </c:pt>
                <c:pt idx="2">
                  <c:v>107</c:v>
                </c:pt>
                <c:pt idx="3">
                  <c:v>121</c:v>
                </c:pt>
                <c:pt idx="4">
                  <c:v>91</c:v>
                </c:pt>
                <c:pt idx="5">
                  <c:v>94</c:v>
                </c:pt>
                <c:pt idx="6">
                  <c:v>20</c:v>
                </c:pt>
                <c:pt idx="7">
                  <c:v>22</c:v>
                </c:pt>
                <c:pt idx="8">
                  <c:v>106</c:v>
                </c:pt>
                <c:pt idx="9">
                  <c:v>103</c:v>
                </c:pt>
                <c:pt idx="10">
                  <c:v>89</c:v>
                </c:pt>
                <c:pt idx="11">
                  <c:v>91</c:v>
                </c:pt>
                <c:pt idx="12">
                  <c:v>78</c:v>
                </c:pt>
                <c:pt idx="13">
                  <c:v>75</c:v>
                </c:pt>
                <c:pt idx="14">
                  <c:v>31</c:v>
                </c:pt>
                <c:pt idx="15">
                  <c:v>28</c:v>
                </c:pt>
                <c:pt idx="16">
                  <c:v>106</c:v>
                </c:pt>
                <c:pt idx="17">
                  <c:v>88</c:v>
                </c:pt>
                <c:pt idx="18">
                  <c:v>226</c:v>
                </c:pt>
                <c:pt idx="19">
                  <c:v>215</c:v>
                </c:pt>
                <c:pt idx="20">
                  <c:v>22</c:v>
                </c:pt>
                <c:pt idx="21">
                  <c:v>20</c:v>
                </c:pt>
                <c:pt idx="22">
                  <c:v>94</c:v>
                </c:pt>
                <c:pt idx="23">
                  <c:v>83</c:v>
                </c:pt>
                <c:pt idx="24">
                  <c:v>0</c:v>
                </c:pt>
                <c:pt idx="25">
                  <c:v>0</c:v>
                </c:pt>
                <c:pt idx="26">
                  <c:v>107</c:v>
                </c:pt>
                <c:pt idx="27">
                  <c:v>118</c:v>
                </c:pt>
                <c:pt idx="28">
                  <c:v>29</c:v>
                </c:pt>
                <c:pt idx="29">
                  <c:v>28</c:v>
                </c:pt>
                <c:pt idx="30">
                  <c:v>21</c:v>
                </c:pt>
                <c:pt idx="31">
                  <c:v>20</c:v>
                </c:pt>
                <c:pt idx="32">
                  <c:v>114</c:v>
                </c:pt>
                <c:pt idx="33">
                  <c:v>116</c:v>
                </c:pt>
                <c:pt idx="34">
                  <c:v>198</c:v>
                </c:pt>
                <c:pt idx="35">
                  <c:v>185</c:v>
                </c:pt>
              </c:numCache>
            </c:numRef>
          </c:val>
        </c:ser>
        <c:ser>
          <c:idx val="4"/>
          <c:order val="4"/>
          <c:tx>
            <c:strRef>
              <c:f>chi1_int!$G$1:$G$1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chi1_int!$G$2:$G$37</c:f>
              <c:numCache>
                <c:formatCode>General</c:formatCode>
                <c:ptCount val="36"/>
                <c:pt idx="0">
                  <c:v>63</c:v>
                </c:pt>
                <c:pt idx="1">
                  <c:v>75</c:v>
                </c:pt>
                <c:pt idx="2">
                  <c:v>30</c:v>
                </c:pt>
                <c:pt idx="3">
                  <c:v>27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3</c:v>
                </c:pt>
                <c:pt idx="8">
                  <c:v>24</c:v>
                </c:pt>
                <c:pt idx="9">
                  <c:v>27</c:v>
                </c:pt>
                <c:pt idx="10">
                  <c:v>23</c:v>
                </c:pt>
                <c:pt idx="11">
                  <c:v>13</c:v>
                </c:pt>
                <c:pt idx="12">
                  <c:v>5</c:v>
                </c:pt>
                <c:pt idx="13">
                  <c:v>4</c:v>
                </c:pt>
                <c:pt idx="14">
                  <c:v>10</c:v>
                </c:pt>
                <c:pt idx="15">
                  <c:v>5</c:v>
                </c:pt>
                <c:pt idx="16">
                  <c:v>33</c:v>
                </c:pt>
                <c:pt idx="17">
                  <c:v>32</c:v>
                </c:pt>
                <c:pt idx="18">
                  <c:v>53</c:v>
                </c:pt>
                <c:pt idx="19">
                  <c:v>43</c:v>
                </c:pt>
                <c:pt idx="20">
                  <c:v>5</c:v>
                </c:pt>
                <c:pt idx="21">
                  <c:v>9</c:v>
                </c:pt>
                <c:pt idx="22">
                  <c:v>6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8</c:v>
                </c:pt>
                <c:pt idx="27">
                  <c:v>9</c:v>
                </c:pt>
                <c:pt idx="28">
                  <c:v>6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13</c:v>
                </c:pt>
                <c:pt idx="34">
                  <c:v>3</c:v>
                </c:pt>
                <c:pt idx="35">
                  <c:v>8</c:v>
                </c:pt>
              </c:numCache>
            </c:numRef>
          </c:val>
        </c:ser>
        <c:ser>
          <c:idx val="5"/>
          <c:order val="5"/>
          <c:tx>
            <c:strRef>
              <c:f>chi1_int!$H$1:$H$1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chi1_int!$H$2:$H$37</c:f>
              <c:numCache>
                <c:formatCode>General</c:formatCode>
                <c:ptCount val="36"/>
                <c:pt idx="0">
                  <c:v>421</c:v>
                </c:pt>
                <c:pt idx="1">
                  <c:v>422</c:v>
                </c:pt>
                <c:pt idx="2">
                  <c:v>180</c:v>
                </c:pt>
                <c:pt idx="3">
                  <c:v>172</c:v>
                </c:pt>
                <c:pt idx="4">
                  <c:v>179</c:v>
                </c:pt>
                <c:pt idx="5">
                  <c:v>176</c:v>
                </c:pt>
                <c:pt idx="6">
                  <c:v>24</c:v>
                </c:pt>
                <c:pt idx="7">
                  <c:v>22</c:v>
                </c:pt>
                <c:pt idx="8">
                  <c:v>176</c:v>
                </c:pt>
                <c:pt idx="9">
                  <c:v>175</c:v>
                </c:pt>
                <c:pt idx="10">
                  <c:v>160</c:v>
                </c:pt>
                <c:pt idx="11">
                  <c:v>157</c:v>
                </c:pt>
                <c:pt idx="12">
                  <c:v>119</c:v>
                </c:pt>
                <c:pt idx="13">
                  <c:v>114</c:v>
                </c:pt>
                <c:pt idx="14">
                  <c:v>202</c:v>
                </c:pt>
                <c:pt idx="15">
                  <c:v>201</c:v>
                </c:pt>
                <c:pt idx="16">
                  <c:v>210</c:v>
                </c:pt>
                <c:pt idx="17">
                  <c:v>227</c:v>
                </c:pt>
                <c:pt idx="18">
                  <c:v>327</c:v>
                </c:pt>
                <c:pt idx="19">
                  <c:v>333</c:v>
                </c:pt>
                <c:pt idx="20">
                  <c:v>83</c:v>
                </c:pt>
                <c:pt idx="21">
                  <c:v>82</c:v>
                </c:pt>
                <c:pt idx="22">
                  <c:v>143</c:v>
                </c:pt>
                <c:pt idx="23">
                  <c:v>157</c:v>
                </c:pt>
                <c:pt idx="24">
                  <c:v>47</c:v>
                </c:pt>
                <c:pt idx="25">
                  <c:v>55</c:v>
                </c:pt>
                <c:pt idx="26">
                  <c:v>123</c:v>
                </c:pt>
                <c:pt idx="27">
                  <c:v>128</c:v>
                </c:pt>
                <c:pt idx="28">
                  <c:v>148</c:v>
                </c:pt>
                <c:pt idx="29">
                  <c:v>150</c:v>
                </c:pt>
                <c:pt idx="30">
                  <c:v>30</c:v>
                </c:pt>
                <c:pt idx="31">
                  <c:v>31</c:v>
                </c:pt>
                <c:pt idx="32">
                  <c:v>168</c:v>
                </c:pt>
                <c:pt idx="33">
                  <c:v>161</c:v>
                </c:pt>
                <c:pt idx="34">
                  <c:v>51</c:v>
                </c:pt>
                <c:pt idx="35">
                  <c:v>54</c:v>
                </c:pt>
              </c:numCache>
            </c:numRef>
          </c:val>
        </c:ser>
        <c:gapWidth val="100"/>
        <c:overlap val="100"/>
        <c:axId val="59197227"/>
        <c:axId val="43914793"/>
      </c:barChart>
      <c:catAx>
        <c:axId val="59197227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43914793"/>
        <c:crossesAt val="0"/>
        <c:auto val="1"/>
        <c:lblAlgn val="ctr"/>
        <c:lblOffset val="100"/>
        <c:noMultiLvlLbl val="0"/>
      </c:catAx>
      <c:valAx>
        <c:axId val="43914793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59197227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chi1_nonint!$C$1:$C$1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chi1_nonint!$A$2:$B$37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chi1_nonint!$C$2:$C$37</c:f>
              <c:numCache>
                <c:formatCode>General</c:formatCode>
                <c:ptCount val="36"/>
                <c:pt idx="0">
                  <c:v>25</c:v>
                </c:pt>
                <c:pt idx="1">
                  <c:v>20</c:v>
                </c:pt>
                <c:pt idx="2">
                  <c:v>16</c:v>
                </c:pt>
                <c:pt idx="3">
                  <c:v>11</c:v>
                </c:pt>
                <c:pt idx="4">
                  <c:v>21</c:v>
                </c:pt>
                <c:pt idx="5">
                  <c:v>19</c:v>
                </c:pt>
                <c:pt idx="6">
                  <c:v>4</c:v>
                </c:pt>
                <c:pt idx="7">
                  <c:v>5</c:v>
                </c:pt>
                <c:pt idx="8">
                  <c:v>74</c:v>
                </c:pt>
                <c:pt idx="9">
                  <c:v>68</c:v>
                </c:pt>
                <c:pt idx="10">
                  <c:v>21</c:v>
                </c:pt>
                <c:pt idx="11">
                  <c:v>28</c:v>
                </c:pt>
                <c:pt idx="12">
                  <c:v>4</c:v>
                </c:pt>
                <c:pt idx="13">
                  <c:v>8</c:v>
                </c:pt>
                <c:pt idx="14">
                  <c:v>22</c:v>
                </c:pt>
                <c:pt idx="15">
                  <c:v>24</c:v>
                </c:pt>
                <c:pt idx="16">
                  <c:v>14</c:v>
                </c:pt>
                <c:pt idx="17">
                  <c:v>13</c:v>
                </c:pt>
                <c:pt idx="18">
                  <c:v>41</c:v>
                </c:pt>
                <c:pt idx="19">
                  <c:v>28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8</c:v>
                </c:pt>
                <c:pt idx="24">
                  <c:v>2106</c:v>
                </c:pt>
                <c:pt idx="25">
                  <c:v>2099</c:v>
                </c:pt>
                <c:pt idx="26">
                  <c:v>40</c:v>
                </c:pt>
                <c:pt idx="27">
                  <c:v>53</c:v>
                </c:pt>
                <c:pt idx="28">
                  <c:v>40</c:v>
                </c:pt>
                <c:pt idx="29">
                  <c:v>33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5</c:v>
                </c:pt>
                <c:pt idx="34">
                  <c:v>60</c:v>
                </c:pt>
                <c:pt idx="35">
                  <c:v>55</c:v>
                </c:pt>
              </c:numCache>
            </c:numRef>
          </c:val>
        </c:ser>
        <c:ser>
          <c:idx val="1"/>
          <c:order val="1"/>
          <c:tx>
            <c:strRef>
              <c:f>chi1_nonint!$D$1:$D$1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chi1_nonint!$A$2:$B$37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chi1_nonint!$D$2:$D$37</c:f>
              <c:numCache>
                <c:formatCode>General</c:formatCode>
                <c:ptCount val="36"/>
                <c:pt idx="0">
                  <c:v>274</c:v>
                </c:pt>
                <c:pt idx="1">
                  <c:v>286</c:v>
                </c:pt>
                <c:pt idx="2">
                  <c:v>333</c:v>
                </c:pt>
                <c:pt idx="3">
                  <c:v>307</c:v>
                </c:pt>
                <c:pt idx="4">
                  <c:v>526</c:v>
                </c:pt>
                <c:pt idx="5">
                  <c:v>499</c:v>
                </c:pt>
                <c:pt idx="6">
                  <c:v>162</c:v>
                </c:pt>
                <c:pt idx="7">
                  <c:v>154</c:v>
                </c:pt>
                <c:pt idx="8">
                  <c:v>395</c:v>
                </c:pt>
                <c:pt idx="9">
                  <c:v>404</c:v>
                </c:pt>
                <c:pt idx="10">
                  <c:v>156</c:v>
                </c:pt>
                <c:pt idx="11">
                  <c:v>161</c:v>
                </c:pt>
                <c:pt idx="12">
                  <c:v>160</c:v>
                </c:pt>
                <c:pt idx="13">
                  <c:v>153</c:v>
                </c:pt>
                <c:pt idx="14">
                  <c:v>500</c:v>
                </c:pt>
                <c:pt idx="15">
                  <c:v>481</c:v>
                </c:pt>
                <c:pt idx="16">
                  <c:v>84</c:v>
                </c:pt>
                <c:pt idx="17">
                  <c:v>70</c:v>
                </c:pt>
                <c:pt idx="18">
                  <c:v>244</c:v>
                </c:pt>
                <c:pt idx="19">
                  <c:v>260</c:v>
                </c:pt>
                <c:pt idx="20">
                  <c:v>96</c:v>
                </c:pt>
                <c:pt idx="21">
                  <c:v>95</c:v>
                </c:pt>
                <c:pt idx="22">
                  <c:v>257</c:v>
                </c:pt>
                <c:pt idx="23">
                  <c:v>276</c:v>
                </c:pt>
                <c:pt idx="24">
                  <c:v>501</c:v>
                </c:pt>
                <c:pt idx="25">
                  <c:v>514</c:v>
                </c:pt>
                <c:pt idx="26">
                  <c:v>1405</c:v>
                </c:pt>
                <c:pt idx="27">
                  <c:v>1381</c:v>
                </c:pt>
                <c:pt idx="28">
                  <c:v>1473</c:v>
                </c:pt>
                <c:pt idx="29">
                  <c:v>1432</c:v>
                </c:pt>
                <c:pt idx="30">
                  <c:v>110</c:v>
                </c:pt>
                <c:pt idx="31">
                  <c:v>106</c:v>
                </c:pt>
                <c:pt idx="32">
                  <c:v>228</c:v>
                </c:pt>
                <c:pt idx="33">
                  <c:v>233</c:v>
                </c:pt>
                <c:pt idx="34">
                  <c:v>338</c:v>
                </c:pt>
                <c:pt idx="35">
                  <c:v>331</c:v>
                </c:pt>
              </c:numCache>
            </c:numRef>
          </c:val>
        </c:ser>
        <c:ser>
          <c:idx val="2"/>
          <c:order val="2"/>
          <c:tx>
            <c:strRef>
              <c:f>chi1_nonint!$E$1:$E$1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chi1_nonint!$A$2:$B$37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chi1_nonint!$E$2:$E$37</c:f>
              <c:numCache>
                <c:formatCode>General</c:formatCode>
                <c:ptCount val="36"/>
                <c:pt idx="0">
                  <c:v>33</c:v>
                </c:pt>
                <c:pt idx="1">
                  <c:v>30</c:v>
                </c:pt>
                <c:pt idx="2">
                  <c:v>4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7</c:v>
                </c:pt>
                <c:pt idx="7">
                  <c:v>11</c:v>
                </c:pt>
                <c:pt idx="8">
                  <c:v>41</c:v>
                </c:pt>
                <c:pt idx="9">
                  <c:v>32</c:v>
                </c:pt>
                <c:pt idx="10">
                  <c:v>19</c:v>
                </c:pt>
                <c:pt idx="11">
                  <c:v>16</c:v>
                </c:pt>
                <c:pt idx="12">
                  <c:v>6</c:v>
                </c:pt>
                <c:pt idx="13">
                  <c:v>1</c:v>
                </c:pt>
                <c:pt idx="14">
                  <c:v>16</c:v>
                </c:pt>
                <c:pt idx="15">
                  <c:v>14</c:v>
                </c:pt>
                <c:pt idx="16">
                  <c:v>14</c:v>
                </c:pt>
                <c:pt idx="17">
                  <c:v>13</c:v>
                </c:pt>
                <c:pt idx="18">
                  <c:v>26</c:v>
                </c:pt>
                <c:pt idx="19">
                  <c:v>28</c:v>
                </c:pt>
                <c:pt idx="20">
                  <c:v>3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  <c:pt idx="24">
                  <c:v>0</c:v>
                </c:pt>
                <c:pt idx="25">
                  <c:v>1</c:v>
                </c:pt>
                <c:pt idx="26">
                  <c:v>89</c:v>
                </c:pt>
                <c:pt idx="27">
                  <c:v>89</c:v>
                </c:pt>
                <c:pt idx="28">
                  <c:v>39</c:v>
                </c:pt>
                <c:pt idx="29">
                  <c:v>31</c:v>
                </c:pt>
                <c:pt idx="30">
                  <c:v>2</c:v>
                </c:pt>
                <c:pt idx="31">
                  <c:v>6</c:v>
                </c:pt>
                <c:pt idx="32">
                  <c:v>5</c:v>
                </c:pt>
                <c:pt idx="33">
                  <c:v>3</c:v>
                </c:pt>
                <c:pt idx="34">
                  <c:v>52</c:v>
                </c:pt>
                <c:pt idx="35">
                  <c:v>51</c:v>
                </c:pt>
              </c:numCache>
            </c:numRef>
          </c:val>
        </c:ser>
        <c:ser>
          <c:idx val="3"/>
          <c:order val="3"/>
          <c:tx>
            <c:strRef>
              <c:f>chi1_nonint!$F$1:$F$1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chi1_nonint!$A$2:$B$37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chi1_nonint!$F$2:$F$37</c:f>
              <c:numCache>
                <c:formatCode>General</c:formatCode>
                <c:ptCount val="36"/>
                <c:pt idx="0">
                  <c:v>1163</c:v>
                </c:pt>
                <c:pt idx="1">
                  <c:v>1158</c:v>
                </c:pt>
                <c:pt idx="2">
                  <c:v>654</c:v>
                </c:pt>
                <c:pt idx="3">
                  <c:v>666</c:v>
                </c:pt>
                <c:pt idx="4">
                  <c:v>1115</c:v>
                </c:pt>
                <c:pt idx="5">
                  <c:v>1123</c:v>
                </c:pt>
                <c:pt idx="6">
                  <c:v>196</c:v>
                </c:pt>
                <c:pt idx="7">
                  <c:v>205</c:v>
                </c:pt>
                <c:pt idx="8">
                  <c:v>1419</c:v>
                </c:pt>
                <c:pt idx="9">
                  <c:v>1456</c:v>
                </c:pt>
                <c:pt idx="10">
                  <c:v>657</c:v>
                </c:pt>
                <c:pt idx="11">
                  <c:v>675</c:v>
                </c:pt>
                <c:pt idx="12">
                  <c:v>447</c:v>
                </c:pt>
                <c:pt idx="13">
                  <c:v>437</c:v>
                </c:pt>
                <c:pt idx="14">
                  <c:v>296</c:v>
                </c:pt>
                <c:pt idx="15">
                  <c:v>307</c:v>
                </c:pt>
                <c:pt idx="16">
                  <c:v>1669</c:v>
                </c:pt>
                <c:pt idx="17">
                  <c:v>1658</c:v>
                </c:pt>
                <c:pt idx="18">
                  <c:v>1190</c:v>
                </c:pt>
                <c:pt idx="19">
                  <c:v>1183</c:v>
                </c:pt>
                <c:pt idx="20">
                  <c:v>288</c:v>
                </c:pt>
                <c:pt idx="21">
                  <c:v>305</c:v>
                </c:pt>
                <c:pt idx="22">
                  <c:v>862</c:v>
                </c:pt>
                <c:pt idx="23">
                  <c:v>844</c:v>
                </c:pt>
                <c:pt idx="24">
                  <c:v>0</c:v>
                </c:pt>
                <c:pt idx="25">
                  <c:v>1</c:v>
                </c:pt>
                <c:pt idx="26">
                  <c:v>898</c:v>
                </c:pt>
                <c:pt idx="27">
                  <c:v>868</c:v>
                </c:pt>
                <c:pt idx="28">
                  <c:v>274</c:v>
                </c:pt>
                <c:pt idx="29">
                  <c:v>253</c:v>
                </c:pt>
                <c:pt idx="30">
                  <c:v>288</c:v>
                </c:pt>
                <c:pt idx="31">
                  <c:v>287</c:v>
                </c:pt>
                <c:pt idx="32">
                  <c:v>864</c:v>
                </c:pt>
                <c:pt idx="33">
                  <c:v>867</c:v>
                </c:pt>
                <c:pt idx="34">
                  <c:v>2776</c:v>
                </c:pt>
                <c:pt idx="35">
                  <c:v>2802</c:v>
                </c:pt>
              </c:numCache>
            </c:numRef>
          </c:val>
        </c:ser>
        <c:ser>
          <c:idx val="4"/>
          <c:order val="4"/>
          <c:tx>
            <c:strRef>
              <c:f>chi1_nonint!$G$1:$G$1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chi1_nonint!$A$2:$B$37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chi1_nonint!$G$2:$G$37</c:f>
              <c:numCache>
                <c:formatCode>General</c:formatCode>
                <c:ptCount val="36"/>
                <c:pt idx="0">
                  <c:v>224</c:v>
                </c:pt>
                <c:pt idx="1">
                  <c:v>202</c:v>
                </c:pt>
                <c:pt idx="2">
                  <c:v>175</c:v>
                </c:pt>
                <c:pt idx="3">
                  <c:v>170</c:v>
                </c:pt>
                <c:pt idx="4">
                  <c:v>169</c:v>
                </c:pt>
                <c:pt idx="5">
                  <c:v>206</c:v>
                </c:pt>
                <c:pt idx="6">
                  <c:v>17</c:v>
                </c:pt>
                <c:pt idx="7">
                  <c:v>38</c:v>
                </c:pt>
                <c:pt idx="8">
                  <c:v>432</c:v>
                </c:pt>
                <c:pt idx="9">
                  <c:v>325</c:v>
                </c:pt>
                <c:pt idx="10">
                  <c:v>146</c:v>
                </c:pt>
                <c:pt idx="11">
                  <c:v>126</c:v>
                </c:pt>
                <c:pt idx="12">
                  <c:v>23</c:v>
                </c:pt>
                <c:pt idx="13">
                  <c:v>43</c:v>
                </c:pt>
                <c:pt idx="14">
                  <c:v>40</c:v>
                </c:pt>
                <c:pt idx="15">
                  <c:v>44</c:v>
                </c:pt>
                <c:pt idx="16">
                  <c:v>577</c:v>
                </c:pt>
                <c:pt idx="17">
                  <c:v>558</c:v>
                </c:pt>
                <c:pt idx="18">
                  <c:v>309</c:v>
                </c:pt>
                <c:pt idx="19">
                  <c:v>266</c:v>
                </c:pt>
                <c:pt idx="20">
                  <c:v>65</c:v>
                </c:pt>
                <c:pt idx="21">
                  <c:v>66</c:v>
                </c:pt>
                <c:pt idx="22">
                  <c:v>69</c:v>
                </c:pt>
                <c:pt idx="23">
                  <c:v>76</c:v>
                </c:pt>
                <c:pt idx="24">
                  <c:v>0</c:v>
                </c:pt>
                <c:pt idx="25">
                  <c:v>2</c:v>
                </c:pt>
                <c:pt idx="26">
                  <c:v>59</c:v>
                </c:pt>
                <c:pt idx="27">
                  <c:v>51</c:v>
                </c:pt>
                <c:pt idx="28">
                  <c:v>26</c:v>
                </c:pt>
                <c:pt idx="29">
                  <c:v>38</c:v>
                </c:pt>
                <c:pt idx="30">
                  <c:v>23</c:v>
                </c:pt>
                <c:pt idx="31">
                  <c:v>21</c:v>
                </c:pt>
                <c:pt idx="32">
                  <c:v>58</c:v>
                </c:pt>
                <c:pt idx="33">
                  <c:v>65</c:v>
                </c:pt>
                <c:pt idx="34">
                  <c:v>27</c:v>
                </c:pt>
                <c:pt idx="35">
                  <c:v>26</c:v>
                </c:pt>
              </c:numCache>
            </c:numRef>
          </c:val>
        </c:ser>
        <c:ser>
          <c:idx val="5"/>
          <c:order val="5"/>
          <c:tx>
            <c:strRef>
              <c:f>chi1_nonint!$H$1:$H$1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chi1_nonint!$A$2:$B$37</c:f>
              <c:multiLvlStrCache>
                <c:ptCount val="36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  <c:pt idx="28">
                    <c:v>B</c:v>
                  </c:pt>
                  <c:pt idx="29">
                    <c:v>U</c:v>
                  </c:pt>
                  <c:pt idx="30">
                    <c:v>B</c:v>
                  </c:pt>
                  <c:pt idx="31">
                    <c:v>U</c:v>
                  </c:pt>
                  <c:pt idx="32">
                    <c:v>B</c:v>
                  </c:pt>
                  <c:pt idx="33">
                    <c:v>U</c:v>
                  </c:pt>
                  <c:pt idx="34">
                    <c:v>B</c:v>
                  </c:pt>
                  <c:pt idx="35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CYS</c:v>
                  </c:pt>
                  <c:pt idx="7">
                    <c:v>CYS</c:v>
                  </c:pt>
                  <c:pt idx="8">
                    <c:v>ASP</c:v>
                  </c:pt>
                  <c:pt idx="9">
                    <c:v>ASP</c:v>
                  </c:pt>
                  <c:pt idx="10">
                    <c:v>ASN</c:v>
                  </c:pt>
                  <c:pt idx="11">
                    <c:v>ASN</c:v>
                  </c:pt>
                  <c:pt idx="12">
                    <c:v>HIS</c:v>
                  </c:pt>
                  <c:pt idx="13">
                    <c:v>HIS</c:v>
                  </c:pt>
                  <c:pt idx="14">
                    <c:v>ILE</c:v>
                  </c:pt>
                  <c:pt idx="15">
                    <c:v>ILE</c:v>
                  </c:pt>
                  <c:pt idx="16">
                    <c:v>LEU</c:v>
                  </c:pt>
                  <c:pt idx="17">
                    <c:v>LEU</c:v>
                  </c:pt>
                  <c:pt idx="18">
                    <c:v>LYS</c:v>
                  </c:pt>
                  <c:pt idx="19">
                    <c:v>LYS</c:v>
                  </c:pt>
                  <c:pt idx="20">
                    <c:v>MET</c:v>
                  </c:pt>
                  <c:pt idx="21">
                    <c:v>MET</c:v>
                  </c:pt>
                  <c:pt idx="22">
                    <c:v>PHE</c:v>
                  </c:pt>
                  <c:pt idx="23">
                    <c:v>PHE</c:v>
                  </c:pt>
                  <c:pt idx="24">
                    <c:v>PRO</c:v>
                  </c:pt>
                  <c:pt idx="25">
                    <c:v>PRO</c:v>
                  </c:pt>
                  <c:pt idx="26">
                    <c:v>SER</c:v>
                  </c:pt>
                  <c:pt idx="27">
                    <c:v>SER</c:v>
                  </c:pt>
                  <c:pt idx="28">
                    <c:v>THR</c:v>
                  </c:pt>
                  <c:pt idx="29">
                    <c:v>THR</c:v>
                  </c:pt>
                  <c:pt idx="30">
                    <c:v>TRP</c:v>
                  </c:pt>
                  <c:pt idx="31">
                    <c:v>TRP</c:v>
                  </c:pt>
                  <c:pt idx="32">
                    <c:v>TYR</c:v>
                  </c:pt>
                  <c:pt idx="33">
                    <c:v>TYR</c:v>
                  </c:pt>
                  <c:pt idx="34">
                    <c:v>VAL</c:v>
                  </c:pt>
                  <c:pt idx="35">
                    <c:v>VAL</c:v>
                  </c:pt>
                </c:lvl>
              </c:multiLvlStrCache>
            </c:multiLvlStrRef>
          </c:cat>
          <c:val>
            <c:numRef>
              <c:f>chi1_nonint!$H$2:$H$37</c:f>
              <c:numCache>
                <c:formatCode>General</c:formatCode>
                <c:ptCount val="36"/>
                <c:pt idx="0">
                  <c:v>1721</c:v>
                </c:pt>
                <c:pt idx="1">
                  <c:v>1744</c:v>
                </c:pt>
                <c:pt idx="2">
                  <c:v>1369</c:v>
                </c:pt>
                <c:pt idx="3">
                  <c:v>1388</c:v>
                </c:pt>
                <c:pt idx="4">
                  <c:v>1800</c:v>
                </c:pt>
                <c:pt idx="5">
                  <c:v>1781</c:v>
                </c:pt>
                <c:pt idx="6">
                  <c:v>401</c:v>
                </c:pt>
                <c:pt idx="7">
                  <c:v>374</c:v>
                </c:pt>
                <c:pt idx="8">
                  <c:v>2422</c:v>
                </c:pt>
                <c:pt idx="9">
                  <c:v>2498</c:v>
                </c:pt>
                <c:pt idx="10">
                  <c:v>1260</c:v>
                </c:pt>
                <c:pt idx="11">
                  <c:v>1253</c:v>
                </c:pt>
                <c:pt idx="12">
                  <c:v>796</c:v>
                </c:pt>
                <c:pt idx="13">
                  <c:v>794</c:v>
                </c:pt>
                <c:pt idx="14">
                  <c:v>2795</c:v>
                </c:pt>
                <c:pt idx="15">
                  <c:v>2799</c:v>
                </c:pt>
                <c:pt idx="16">
                  <c:v>3782</c:v>
                </c:pt>
                <c:pt idx="17">
                  <c:v>3828</c:v>
                </c:pt>
                <c:pt idx="18">
                  <c:v>2114</c:v>
                </c:pt>
                <c:pt idx="19">
                  <c:v>2159</c:v>
                </c:pt>
                <c:pt idx="20">
                  <c:v>712</c:v>
                </c:pt>
                <c:pt idx="21">
                  <c:v>691</c:v>
                </c:pt>
                <c:pt idx="22">
                  <c:v>1426</c:v>
                </c:pt>
                <c:pt idx="23">
                  <c:v>1413</c:v>
                </c:pt>
                <c:pt idx="24">
                  <c:v>441</c:v>
                </c:pt>
                <c:pt idx="25">
                  <c:v>431</c:v>
                </c:pt>
                <c:pt idx="26">
                  <c:v>898</c:v>
                </c:pt>
                <c:pt idx="27">
                  <c:v>947</c:v>
                </c:pt>
                <c:pt idx="28">
                  <c:v>1261</c:v>
                </c:pt>
                <c:pt idx="29">
                  <c:v>1326</c:v>
                </c:pt>
                <c:pt idx="30">
                  <c:v>353</c:v>
                </c:pt>
                <c:pt idx="31">
                  <c:v>357</c:v>
                </c:pt>
                <c:pt idx="32">
                  <c:v>1146</c:v>
                </c:pt>
                <c:pt idx="33">
                  <c:v>1131</c:v>
                </c:pt>
                <c:pt idx="34">
                  <c:v>767</c:v>
                </c:pt>
                <c:pt idx="35">
                  <c:v>755</c:v>
                </c:pt>
              </c:numCache>
            </c:numRef>
          </c:val>
        </c:ser>
        <c:gapWidth val="100"/>
        <c:overlap val="100"/>
        <c:axId val="39782641"/>
        <c:axId val="11288758"/>
      </c:barChart>
      <c:catAx>
        <c:axId val="397826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6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11288758"/>
        <c:crossesAt val="0"/>
        <c:auto val="1"/>
        <c:lblAlgn val="ctr"/>
        <c:lblOffset val="100"/>
        <c:noMultiLvlLbl val="0"/>
      </c:catAx>
      <c:valAx>
        <c:axId val="1128875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39782641"/>
        <c:crossesAt val="0"/>
        <c:crossBetween val="midCat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chi2_int!$C$1:$C$1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chi2_int!$C$2:$C$29</c:f>
              <c:numCache>
                <c:formatCode>General</c:formatCode>
                <c:ptCount val="28"/>
                <c:pt idx="0">
                  <c:v>0</c:v>
                </c:pt>
                <c:pt idx="1">
                  <c:v>4</c:v>
                </c:pt>
                <c:pt idx="2">
                  <c:v>129</c:v>
                </c:pt>
                <c:pt idx="3">
                  <c:v>140</c:v>
                </c:pt>
                <c:pt idx="4">
                  <c:v>160</c:v>
                </c:pt>
                <c:pt idx="5">
                  <c:v>147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12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7</c:v>
                </c:pt>
                <c:pt idx="16">
                  <c:v>1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18</c:v>
                </c:pt>
                <c:pt idx="21">
                  <c:v>18</c:v>
                </c:pt>
                <c:pt idx="22">
                  <c:v>57</c:v>
                </c:pt>
                <c:pt idx="23">
                  <c:v>57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9</c:v>
                </c:pt>
              </c:numCache>
            </c:numRef>
          </c:val>
        </c:ser>
        <c:ser>
          <c:idx val="1"/>
          <c:order val="1"/>
          <c:tx>
            <c:strRef>
              <c:f>chi2_int!$D$1:$D$1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chi2_int!$D$2:$D$29</c:f>
              <c:numCache>
                <c:formatCode>General</c:formatCode>
                <c:ptCount val="28"/>
                <c:pt idx="0">
                  <c:v>54</c:v>
                </c:pt>
                <c:pt idx="1">
                  <c:v>41</c:v>
                </c:pt>
                <c:pt idx="2">
                  <c:v>80</c:v>
                </c:pt>
                <c:pt idx="3">
                  <c:v>72</c:v>
                </c:pt>
                <c:pt idx="4">
                  <c:v>61</c:v>
                </c:pt>
                <c:pt idx="5">
                  <c:v>63</c:v>
                </c:pt>
                <c:pt idx="6">
                  <c:v>52</c:v>
                </c:pt>
                <c:pt idx="7">
                  <c:v>57</c:v>
                </c:pt>
                <c:pt idx="8">
                  <c:v>52</c:v>
                </c:pt>
                <c:pt idx="9">
                  <c:v>35</c:v>
                </c:pt>
                <c:pt idx="10">
                  <c:v>46</c:v>
                </c:pt>
                <c:pt idx="11">
                  <c:v>46</c:v>
                </c:pt>
                <c:pt idx="12">
                  <c:v>22</c:v>
                </c:pt>
                <c:pt idx="13">
                  <c:v>28</c:v>
                </c:pt>
                <c:pt idx="14">
                  <c:v>121</c:v>
                </c:pt>
                <c:pt idx="15">
                  <c:v>110</c:v>
                </c:pt>
                <c:pt idx="16">
                  <c:v>53</c:v>
                </c:pt>
                <c:pt idx="17">
                  <c:v>66</c:v>
                </c:pt>
                <c:pt idx="18">
                  <c:v>8</c:v>
                </c:pt>
                <c:pt idx="19">
                  <c:v>10</c:v>
                </c:pt>
                <c:pt idx="20">
                  <c:v>110</c:v>
                </c:pt>
                <c:pt idx="21">
                  <c:v>114</c:v>
                </c:pt>
                <c:pt idx="22">
                  <c:v>143</c:v>
                </c:pt>
                <c:pt idx="23">
                  <c:v>136</c:v>
                </c:pt>
                <c:pt idx="24">
                  <c:v>19</c:v>
                </c:pt>
                <c:pt idx="25">
                  <c:v>19</c:v>
                </c:pt>
                <c:pt idx="26">
                  <c:v>135</c:v>
                </c:pt>
                <c:pt idx="27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chi2_int!$E$1:$E$1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chi2_int!$E$2:$E$29</c:f>
              <c:numCache>
                <c:formatCode>General</c:formatCode>
                <c:ptCount val="28"/>
                <c:pt idx="0">
                  <c:v>54</c:v>
                </c:pt>
                <c:pt idx="1">
                  <c:v>58</c:v>
                </c:pt>
                <c:pt idx="2">
                  <c:v>23</c:v>
                </c:pt>
                <c:pt idx="3">
                  <c:v>27</c:v>
                </c:pt>
                <c:pt idx="4">
                  <c:v>15</c:v>
                </c:pt>
                <c:pt idx="5">
                  <c:v>12</c:v>
                </c:pt>
                <c:pt idx="6">
                  <c:v>24</c:v>
                </c:pt>
                <c:pt idx="7">
                  <c:v>17</c:v>
                </c:pt>
                <c:pt idx="8">
                  <c:v>14</c:v>
                </c:pt>
                <c:pt idx="9">
                  <c:v>18</c:v>
                </c:pt>
                <c:pt idx="10">
                  <c:v>22</c:v>
                </c:pt>
                <c:pt idx="11">
                  <c:v>28</c:v>
                </c:pt>
                <c:pt idx="12">
                  <c:v>9</c:v>
                </c:pt>
                <c:pt idx="13">
                  <c:v>15</c:v>
                </c:pt>
                <c:pt idx="14">
                  <c:v>12</c:v>
                </c:pt>
                <c:pt idx="15">
                  <c:v>14</c:v>
                </c:pt>
                <c:pt idx="16">
                  <c:v>36</c:v>
                </c:pt>
                <c:pt idx="17">
                  <c:v>41</c:v>
                </c:pt>
                <c:pt idx="18">
                  <c:v>3</c:v>
                </c:pt>
                <c:pt idx="19">
                  <c:v>1</c:v>
                </c:pt>
                <c:pt idx="20">
                  <c:v>28</c:v>
                </c:pt>
                <c:pt idx="21">
                  <c:v>24</c:v>
                </c:pt>
                <c:pt idx="22">
                  <c:v>0</c:v>
                </c:pt>
                <c:pt idx="23">
                  <c:v>1</c:v>
                </c:pt>
                <c:pt idx="24">
                  <c:v>22</c:v>
                </c:pt>
                <c:pt idx="25">
                  <c:v>19</c:v>
                </c:pt>
                <c:pt idx="26">
                  <c:v>42</c:v>
                </c:pt>
                <c:pt idx="27">
                  <c:v>37</c:v>
                </c:pt>
              </c:numCache>
            </c:numRef>
          </c:val>
        </c:ser>
        <c:ser>
          <c:idx val="3"/>
          <c:order val="3"/>
          <c:tx>
            <c:strRef>
              <c:f>chi2_int!$F$1:$F$1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chi2_int!$F$2:$F$29</c:f>
              <c:numCache>
                <c:formatCode>General</c:formatCode>
                <c:ptCount val="28"/>
                <c:pt idx="0">
                  <c:v>572</c:v>
                </c:pt>
                <c:pt idx="1">
                  <c:v>580</c:v>
                </c:pt>
                <c:pt idx="2">
                  <c:v>20</c:v>
                </c:pt>
                <c:pt idx="3">
                  <c:v>20</c:v>
                </c:pt>
                <c:pt idx="4">
                  <c:v>23</c:v>
                </c:pt>
                <c:pt idx="5">
                  <c:v>25</c:v>
                </c:pt>
                <c:pt idx="6">
                  <c:v>187</c:v>
                </c:pt>
                <c:pt idx="7">
                  <c:v>194</c:v>
                </c:pt>
                <c:pt idx="8">
                  <c:v>164</c:v>
                </c:pt>
                <c:pt idx="9">
                  <c:v>163</c:v>
                </c:pt>
                <c:pt idx="10">
                  <c:v>25</c:v>
                </c:pt>
                <c:pt idx="11">
                  <c:v>32</c:v>
                </c:pt>
                <c:pt idx="12">
                  <c:v>204</c:v>
                </c:pt>
                <c:pt idx="13">
                  <c:v>195</c:v>
                </c:pt>
                <c:pt idx="14">
                  <c:v>201</c:v>
                </c:pt>
                <c:pt idx="15">
                  <c:v>214</c:v>
                </c:pt>
                <c:pt idx="16">
                  <c:v>462</c:v>
                </c:pt>
                <c:pt idx="17">
                  <c:v>430</c:v>
                </c:pt>
                <c:pt idx="18">
                  <c:v>70</c:v>
                </c:pt>
                <c:pt idx="19">
                  <c:v>73</c:v>
                </c:pt>
                <c:pt idx="20">
                  <c:v>1</c:v>
                </c:pt>
                <c:pt idx="21">
                  <c:v>6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3</c:v>
                </c:pt>
              </c:numCache>
            </c:numRef>
          </c:val>
        </c:ser>
        <c:ser>
          <c:idx val="4"/>
          <c:order val="4"/>
          <c:tx>
            <c:strRef>
              <c:f>chi2_int!$G$1:$G$1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chi2_int!$G$2:$G$29</c:f>
              <c:numCache>
                <c:formatCode>General</c:formatCode>
                <c:ptCount val="28"/>
                <c:pt idx="0">
                  <c:v>62</c:v>
                </c:pt>
                <c:pt idx="1">
                  <c:v>61</c:v>
                </c:pt>
                <c:pt idx="2">
                  <c:v>16</c:v>
                </c:pt>
                <c:pt idx="3">
                  <c:v>22</c:v>
                </c:pt>
                <c:pt idx="4">
                  <c:v>9</c:v>
                </c:pt>
                <c:pt idx="5">
                  <c:v>12</c:v>
                </c:pt>
                <c:pt idx="6">
                  <c:v>26</c:v>
                </c:pt>
                <c:pt idx="7">
                  <c:v>18</c:v>
                </c:pt>
                <c:pt idx="8">
                  <c:v>10</c:v>
                </c:pt>
                <c:pt idx="9">
                  <c:v>15</c:v>
                </c:pt>
                <c:pt idx="10">
                  <c:v>53</c:v>
                </c:pt>
                <c:pt idx="11">
                  <c:v>37</c:v>
                </c:pt>
                <c:pt idx="12">
                  <c:v>1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39</c:v>
                </c:pt>
                <c:pt idx="17">
                  <c:v>42</c:v>
                </c:pt>
                <c:pt idx="18">
                  <c:v>7</c:v>
                </c:pt>
                <c:pt idx="19">
                  <c:v>5</c:v>
                </c:pt>
                <c:pt idx="20">
                  <c:v>14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12</c:v>
                </c:pt>
                <c:pt idx="25">
                  <c:v>9</c:v>
                </c:pt>
                <c:pt idx="26">
                  <c:v>12</c:v>
                </c:pt>
                <c:pt idx="27">
                  <c:v>19</c:v>
                </c:pt>
              </c:numCache>
            </c:numRef>
          </c:val>
        </c:ser>
        <c:ser>
          <c:idx val="5"/>
          <c:order val="5"/>
          <c:tx>
            <c:strRef>
              <c:f>chi2_int!$H$1:$H$1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chi2_int!$H$2:$H$29</c:f>
              <c:numCache>
                <c:formatCode>General</c:formatCode>
                <c:ptCount val="28"/>
                <c:pt idx="0">
                  <c:v>90</c:v>
                </c:pt>
                <c:pt idx="1">
                  <c:v>88</c:v>
                </c:pt>
                <c:pt idx="2">
                  <c:v>112</c:v>
                </c:pt>
                <c:pt idx="3">
                  <c:v>99</c:v>
                </c:pt>
                <c:pt idx="4">
                  <c:v>86</c:v>
                </c:pt>
                <c:pt idx="5">
                  <c:v>95</c:v>
                </c:pt>
                <c:pt idx="6">
                  <c:v>60</c:v>
                </c:pt>
                <c:pt idx="7">
                  <c:v>62</c:v>
                </c:pt>
                <c:pt idx="8">
                  <c:v>51</c:v>
                </c:pt>
                <c:pt idx="9">
                  <c:v>59</c:v>
                </c:pt>
                <c:pt idx="10">
                  <c:v>86</c:v>
                </c:pt>
                <c:pt idx="11">
                  <c:v>88</c:v>
                </c:pt>
                <c:pt idx="12">
                  <c:v>47</c:v>
                </c:pt>
                <c:pt idx="13">
                  <c:v>40</c:v>
                </c:pt>
                <c:pt idx="14">
                  <c:v>9</c:v>
                </c:pt>
                <c:pt idx="15">
                  <c:v>9</c:v>
                </c:pt>
                <c:pt idx="16">
                  <c:v>75</c:v>
                </c:pt>
                <c:pt idx="17">
                  <c:v>82</c:v>
                </c:pt>
                <c:pt idx="18">
                  <c:v>32</c:v>
                </c:pt>
                <c:pt idx="19">
                  <c:v>31</c:v>
                </c:pt>
                <c:pt idx="20">
                  <c:v>114</c:v>
                </c:pt>
                <c:pt idx="21">
                  <c:v>114</c:v>
                </c:pt>
                <c:pt idx="22">
                  <c:v>107</c:v>
                </c:pt>
                <c:pt idx="23">
                  <c:v>112</c:v>
                </c:pt>
                <c:pt idx="24">
                  <c:v>8</c:v>
                </c:pt>
                <c:pt idx="25">
                  <c:v>13</c:v>
                </c:pt>
                <c:pt idx="26">
                  <c:v>131</c:v>
                </c:pt>
                <c:pt idx="27">
                  <c:v>121</c:v>
                </c:pt>
              </c:numCache>
            </c:numRef>
          </c:val>
        </c:ser>
        <c:gapWidth val="100"/>
        <c:overlap val="100"/>
        <c:axId val="78754221"/>
        <c:axId val="30682426"/>
      </c:barChart>
      <c:catAx>
        <c:axId val="78754221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 rot="6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30682426"/>
        <c:crossesAt val="0"/>
        <c:auto val="1"/>
        <c:lblAlgn val="ctr"/>
        <c:lblOffset val="100"/>
        <c:noMultiLvlLbl val="0"/>
      </c:catAx>
      <c:valAx>
        <c:axId val="3068242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78754221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chi2_nonint!$C$1:$C$1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chi2_nonint!$A$2:$B$29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chi2_nonint!$C$2:$C$29</c:f>
              <c:numCache>
                <c:formatCode>General</c:formatCode>
                <c:ptCount val="28"/>
                <c:pt idx="0">
                  <c:v>3</c:v>
                </c:pt>
                <c:pt idx="1">
                  <c:v>14</c:v>
                </c:pt>
                <c:pt idx="2">
                  <c:v>802</c:v>
                </c:pt>
                <c:pt idx="3">
                  <c:v>816</c:v>
                </c:pt>
                <c:pt idx="4">
                  <c:v>1583</c:v>
                </c:pt>
                <c:pt idx="5">
                  <c:v>1679</c:v>
                </c:pt>
                <c:pt idx="6">
                  <c:v>7</c:v>
                </c:pt>
                <c:pt idx="7">
                  <c:v>10</c:v>
                </c:pt>
                <c:pt idx="8">
                  <c:v>4</c:v>
                </c:pt>
                <c:pt idx="9">
                  <c:v>12</c:v>
                </c:pt>
                <c:pt idx="10">
                  <c:v>38</c:v>
                </c:pt>
                <c:pt idx="11">
                  <c:v>32</c:v>
                </c:pt>
                <c:pt idx="12">
                  <c:v>2</c:v>
                </c:pt>
                <c:pt idx="13">
                  <c:v>4</c:v>
                </c:pt>
                <c:pt idx="14">
                  <c:v>149</c:v>
                </c:pt>
                <c:pt idx="15">
                  <c:v>125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2</c:v>
                </c:pt>
                <c:pt idx="20">
                  <c:v>152</c:v>
                </c:pt>
                <c:pt idx="21">
                  <c:v>171</c:v>
                </c:pt>
                <c:pt idx="22">
                  <c:v>503</c:v>
                </c:pt>
                <c:pt idx="23">
                  <c:v>553</c:v>
                </c:pt>
                <c:pt idx="24">
                  <c:v>96</c:v>
                </c:pt>
                <c:pt idx="25">
                  <c:v>97</c:v>
                </c:pt>
                <c:pt idx="26">
                  <c:v>112</c:v>
                </c:pt>
                <c:pt idx="27">
                  <c:v>127</c:v>
                </c:pt>
              </c:numCache>
            </c:numRef>
          </c:val>
        </c:ser>
        <c:ser>
          <c:idx val="1"/>
          <c:order val="1"/>
          <c:tx>
            <c:strRef>
              <c:f>chi2_nonint!$D$1:$D$1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chi2_nonint!$A$2:$B$29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chi2_nonint!$D$2:$D$29</c:f>
              <c:numCache>
                <c:formatCode>General</c:formatCode>
                <c:ptCount val="28"/>
                <c:pt idx="0">
                  <c:v>227</c:v>
                </c:pt>
                <c:pt idx="1">
                  <c:v>235</c:v>
                </c:pt>
                <c:pt idx="2">
                  <c:v>408</c:v>
                </c:pt>
                <c:pt idx="3">
                  <c:v>395</c:v>
                </c:pt>
                <c:pt idx="4">
                  <c:v>562</c:v>
                </c:pt>
                <c:pt idx="5">
                  <c:v>541</c:v>
                </c:pt>
                <c:pt idx="6">
                  <c:v>678</c:v>
                </c:pt>
                <c:pt idx="7">
                  <c:v>649</c:v>
                </c:pt>
                <c:pt idx="8">
                  <c:v>334</c:v>
                </c:pt>
                <c:pt idx="9">
                  <c:v>334</c:v>
                </c:pt>
                <c:pt idx="10">
                  <c:v>356</c:v>
                </c:pt>
                <c:pt idx="11">
                  <c:v>327</c:v>
                </c:pt>
                <c:pt idx="12">
                  <c:v>226</c:v>
                </c:pt>
                <c:pt idx="13">
                  <c:v>210</c:v>
                </c:pt>
                <c:pt idx="14">
                  <c:v>1831</c:v>
                </c:pt>
                <c:pt idx="15">
                  <c:v>1815</c:v>
                </c:pt>
                <c:pt idx="16">
                  <c:v>277</c:v>
                </c:pt>
                <c:pt idx="17">
                  <c:v>280</c:v>
                </c:pt>
                <c:pt idx="18">
                  <c:v>114</c:v>
                </c:pt>
                <c:pt idx="19">
                  <c:v>115</c:v>
                </c:pt>
                <c:pt idx="20">
                  <c:v>1135</c:v>
                </c:pt>
                <c:pt idx="21">
                  <c:v>1103</c:v>
                </c:pt>
                <c:pt idx="22">
                  <c:v>1433</c:v>
                </c:pt>
                <c:pt idx="23">
                  <c:v>1377</c:v>
                </c:pt>
                <c:pt idx="24">
                  <c:v>220</c:v>
                </c:pt>
                <c:pt idx="25">
                  <c:v>216</c:v>
                </c:pt>
                <c:pt idx="26">
                  <c:v>1034</c:v>
                </c:pt>
                <c:pt idx="27">
                  <c:v>1010</c:v>
                </c:pt>
              </c:numCache>
            </c:numRef>
          </c:val>
        </c:ser>
        <c:ser>
          <c:idx val="2"/>
          <c:order val="2"/>
          <c:tx>
            <c:strRef>
              <c:f>chi2_nonint!$E$1:$E$1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chi2_nonint!$A$2:$B$29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chi2_nonint!$E$2:$E$29</c:f>
              <c:numCache>
                <c:formatCode>General</c:formatCode>
                <c:ptCount val="28"/>
                <c:pt idx="0">
                  <c:v>201</c:v>
                </c:pt>
                <c:pt idx="1">
                  <c:v>209</c:v>
                </c:pt>
                <c:pt idx="2">
                  <c:v>191</c:v>
                </c:pt>
                <c:pt idx="3">
                  <c:v>199</c:v>
                </c:pt>
                <c:pt idx="4">
                  <c:v>137</c:v>
                </c:pt>
                <c:pt idx="5">
                  <c:v>121</c:v>
                </c:pt>
                <c:pt idx="6">
                  <c:v>243</c:v>
                </c:pt>
                <c:pt idx="7">
                  <c:v>226</c:v>
                </c:pt>
                <c:pt idx="8">
                  <c:v>105</c:v>
                </c:pt>
                <c:pt idx="9">
                  <c:v>105</c:v>
                </c:pt>
                <c:pt idx="10">
                  <c:v>197</c:v>
                </c:pt>
                <c:pt idx="11">
                  <c:v>199</c:v>
                </c:pt>
                <c:pt idx="12">
                  <c:v>207</c:v>
                </c:pt>
                <c:pt idx="13">
                  <c:v>187</c:v>
                </c:pt>
                <c:pt idx="14">
                  <c:v>210</c:v>
                </c:pt>
                <c:pt idx="15">
                  <c:v>178</c:v>
                </c:pt>
                <c:pt idx="16">
                  <c:v>210</c:v>
                </c:pt>
                <c:pt idx="17">
                  <c:v>191</c:v>
                </c:pt>
                <c:pt idx="18">
                  <c:v>16</c:v>
                </c:pt>
                <c:pt idx="19">
                  <c:v>21</c:v>
                </c:pt>
                <c:pt idx="20">
                  <c:v>237</c:v>
                </c:pt>
                <c:pt idx="21">
                  <c:v>267</c:v>
                </c:pt>
                <c:pt idx="22">
                  <c:v>0</c:v>
                </c:pt>
                <c:pt idx="23">
                  <c:v>1</c:v>
                </c:pt>
                <c:pt idx="24">
                  <c:v>200</c:v>
                </c:pt>
                <c:pt idx="25">
                  <c:v>213</c:v>
                </c:pt>
                <c:pt idx="26">
                  <c:v>216</c:v>
                </c:pt>
                <c:pt idx="27">
                  <c:v>228</c:v>
                </c:pt>
              </c:numCache>
            </c:numRef>
          </c:val>
        </c:ser>
        <c:ser>
          <c:idx val="3"/>
          <c:order val="3"/>
          <c:tx>
            <c:strRef>
              <c:f>chi2_nonint!$F$1:$F$1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chi2_nonint!$A$2:$B$29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chi2_nonint!$F$2:$F$29</c:f>
              <c:numCache>
                <c:formatCode>General</c:formatCode>
                <c:ptCount val="28"/>
                <c:pt idx="0">
                  <c:v>2416</c:v>
                </c:pt>
                <c:pt idx="1">
                  <c:v>2454</c:v>
                </c:pt>
                <c:pt idx="2">
                  <c:v>133</c:v>
                </c:pt>
                <c:pt idx="3">
                  <c:v>139</c:v>
                </c:pt>
                <c:pt idx="4">
                  <c:v>265</c:v>
                </c:pt>
                <c:pt idx="5">
                  <c:v>229</c:v>
                </c:pt>
                <c:pt idx="6">
                  <c:v>2790</c:v>
                </c:pt>
                <c:pt idx="7">
                  <c:v>2860</c:v>
                </c:pt>
                <c:pt idx="8">
                  <c:v>1282</c:v>
                </c:pt>
                <c:pt idx="9">
                  <c:v>1278</c:v>
                </c:pt>
                <c:pt idx="10">
                  <c:v>118</c:v>
                </c:pt>
                <c:pt idx="11">
                  <c:v>121</c:v>
                </c:pt>
                <c:pt idx="12">
                  <c:v>2590</c:v>
                </c:pt>
                <c:pt idx="13">
                  <c:v>2611</c:v>
                </c:pt>
                <c:pt idx="14">
                  <c:v>3719</c:v>
                </c:pt>
                <c:pt idx="15">
                  <c:v>3823</c:v>
                </c:pt>
                <c:pt idx="16">
                  <c:v>2666</c:v>
                </c:pt>
                <c:pt idx="17">
                  <c:v>2673</c:v>
                </c:pt>
                <c:pt idx="18">
                  <c:v>656</c:v>
                </c:pt>
                <c:pt idx="19">
                  <c:v>663</c:v>
                </c:pt>
                <c:pt idx="20">
                  <c:v>24</c:v>
                </c:pt>
                <c:pt idx="21">
                  <c:v>20</c:v>
                </c:pt>
                <c:pt idx="22">
                  <c:v>0</c:v>
                </c:pt>
                <c:pt idx="23">
                  <c:v>10</c:v>
                </c:pt>
                <c:pt idx="24">
                  <c:v>2</c:v>
                </c:pt>
                <c:pt idx="25">
                  <c:v>3</c:v>
                </c:pt>
                <c:pt idx="26">
                  <c:v>20</c:v>
                </c:pt>
                <c:pt idx="27">
                  <c:v>22</c:v>
                </c:pt>
              </c:numCache>
            </c:numRef>
          </c:val>
        </c:ser>
        <c:ser>
          <c:idx val="4"/>
          <c:order val="4"/>
          <c:tx>
            <c:strRef>
              <c:f>chi2_nonint!$G$1:$G$1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chi2_nonint!$A$2:$B$29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chi2_nonint!$G$2:$G$29</c:f>
              <c:numCache>
                <c:formatCode>General</c:formatCode>
                <c:ptCount val="28"/>
                <c:pt idx="0">
                  <c:v>245</c:v>
                </c:pt>
                <c:pt idx="1">
                  <c:v>182</c:v>
                </c:pt>
                <c:pt idx="2">
                  <c:v>148</c:v>
                </c:pt>
                <c:pt idx="3">
                  <c:v>150</c:v>
                </c:pt>
                <c:pt idx="4">
                  <c:v>82</c:v>
                </c:pt>
                <c:pt idx="5">
                  <c:v>81</c:v>
                </c:pt>
                <c:pt idx="6">
                  <c:v>265</c:v>
                </c:pt>
                <c:pt idx="7">
                  <c:v>224</c:v>
                </c:pt>
                <c:pt idx="8">
                  <c:v>110</c:v>
                </c:pt>
                <c:pt idx="9">
                  <c:v>85</c:v>
                </c:pt>
                <c:pt idx="10">
                  <c:v>222</c:v>
                </c:pt>
                <c:pt idx="11">
                  <c:v>220</c:v>
                </c:pt>
                <c:pt idx="12">
                  <c:v>34</c:v>
                </c:pt>
                <c:pt idx="13">
                  <c:v>32</c:v>
                </c:pt>
                <c:pt idx="14">
                  <c:v>90</c:v>
                </c:pt>
                <c:pt idx="15">
                  <c:v>74</c:v>
                </c:pt>
                <c:pt idx="16">
                  <c:v>257</c:v>
                </c:pt>
                <c:pt idx="17">
                  <c:v>243</c:v>
                </c:pt>
                <c:pt idx="18">
                  <c:v>56</c:v>
                </c:pt>
                <c:pt idx="19">
                  <c:v>44</c:v>
                </c:pt>
                <c:pt idx="20">
                  <c:v>160</c:v>
                </c:pt>
                <c:pt idx="21">
                  <c:v>153</c:v>
                </c:pt>
                <c:pt idx="22">
                  <c:v>0</c:v>
                </c:pt>
                <c:pt idx="23">
                  <c:v>4</c:v>
                </c:pt>
                <c:pt idx="24">
                  <c:v>162</c:v>
                </c:pt>
                <c:pt idx="25">
                  <c:v>146</c:v>
                </c:pt>
                <c:pt idx="26">
                  <c:v>143</c:v>
                </c:pt>
                <c:pt idx="27">
                  <c:v>143</c:v>
                </c:pt>
              </c:numCache>
            </c:numRef>
          </c:val>
        </c:ser>
        <c:ser>
          <c:idx val="5"/>
          <c:order val="5"/>
          <c:tx>
            <c:strRef>
              <c:f>chi2_nonint!$H$1:$H$1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chi2_nonint!$A$2:$B$29</c:f>
              <c:multiLvlStrCache>
                <c:ptCount val="28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  <c:pt idx="10">
                    <c:v>B</c:v>
                  </c:pt>
                  <c:pt idx="11">
                    <c:v>U</c:v>
                  </c:pt>
                  <c:pt idx="12">
                    <c:v>B</c:v>
                  </c:pt>
                  <c:pt idx="13">
                    <c:v>U</c:v>
                  </c:pt>
                  <c:pt idx="14">
                    <c:v>B</c:v>
                  </c:pt>
                  <c:pt idx="15">
                    <c:v>U</c:v>
                  </c:pt>
                  <c:pt idx="16">
                    <c:v>B</c:v>
                  </c:pt>
                  <c:pt idx="17">
                    <c:v>U</c:v>
                  </c:pt>
                  <c:pt idx="18">
                    <c:v>B</c:v>
                  </c:pt>
                  <c:pt idx="19">
                    <c:v>U</c:v>
                  </c:pt>
                  <c:pt idx="20">
                    <c:v>B</c:v>
                  </c:pt>
                  <c:pt idx="21">
                    <c:v>U</c:v>
                  </c:pt>
                  <c:pt idx="22">
                    <c:v>B</c:v>
                  </c:pt>
                  <c:pt idx="23">
                    <c:v>U</c:v>
                  </c:pt>
                  <c:pt idx="24">
                    <c:v>B</c:v>
                  </c:pt>
                  <c:pt idx="25">
                    <c:v>U</c:v>
                  </c:pt>
                  <c:pt idx="26">
                    <c:v>B</c:v>
                  </c:pt>
                  <c:pt idx="27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GLN</c:v>
                  </c:pt>
                  <c:pt idx="3">
                    <c:v>GLN</c:v>
                  </c:pt>
                  <c:pt idx="4">
                    <c:v>GLU</c:v>
                  </c:pt>
                  <c:pt idx="5">
                    <c:v>GLU</c:v>
                  </c:pt>
                  <c:pt idx="6">
                    <c:v>ASP</c:v>
                  </c:pt>
                  <c:pt idx="7">
                    <c:v>ASP</c:v>
                  </c:pt>
                  <c:pt idx="8">
                    <c:v>ASN</c:v>
                  </c:pt>
                  <c:pt idx="9">
                    <c:v>ASN</c:v>
                  </c:pt>
                  <c:pt idx="10">
                    <c:v>HIS</c:v>
                  </c:pt>
                  <c:pt idx="11">
                    <c:v>HIS</c:v>
                  </c:pt>
                  <c:pt idx="12">
                    <c:v>ILE</c:v>
                  </c:pt>
                  <c:pt idx="13">
                    <c:v>ILE</c:v>
                  </c:pt>
                  <c:pt idx="14">
                    <c:v>LEU</c:v>
                  </c:pt>
                  <c:pt idx="15">
                    <c:v>LEU</c:v>
                  </c:pt>
                  <c:pt idx="16">
                    <c:v>LYS</c:v>
                  </c:pt>
                  <c:pt idx="17">
                    <c:v>LYS</c:v>
                  </c:pt>
                  <c:pt idx="18">
                    <c:v>MET</c:v>
                  </c:pt>
                  <c:pt idx="19">
                    <c:v>MET</c:v>
                  </c:pt>
                  <c:pt idx="20">
                    <c:v>PHE</c:v>
                  </c:pt>
                  <c:pt idx="21">
                    <c:v>PHE</c:v>
                  </c:pt>
                  <c:pt idx="22">
                    <c:v>PRO</c:v>
                  </c:pt>
                  <c:pt idx="23">
                    <c:v>PRO</c:v>
                  </c:pt>
                  <c:pt idx="24">
                    <c:v>TRP</c:v>
                  </c:pt>
                  <c:pt idx="25">
                    <c:v>TRP</c:v>
                  </c:pt>
                  <c:pt idx="26">
                    <c:v>TYR</c:v>
                  </c:pt>
                  <c:pt idx="27">
                    <c:v>TYR</c:v>
                  </c:pt>
                </c:lvl>
              </c:multiLvlStrCache>
            </c:multiLvlStrRef>
          </c:cat>
          <c:val>
            <c:numRef>
              <c:f>chi2_nonint!$H$2:$H$29</c:f>
              <c:numCache>
                <c:formatCode>General</c:formatCode>
                <c:ptCount val="28"/>
                <c:pt idx="0">
                  <c:v>348</c:v>
                </c:pt>
                <c:pt idx="1">
                  <c:v>346</c:v>
                </c:pt>
                <c:pt idx="2">
                  <c:v>869</c:v>
                </c:pt>
                <c:pt idx="3">
                  <c:v>852</c:v>
                </c:pt>
                <c:pt idx="4">
                  <c:v>1014</c:v>
                </c:pt>
                <c:pt idx="5">
                  <c:v>992</c:v>
                </c:pt>
                <c:pt idx="6">
                  <c:v>800</c:v>
                </c:pt>
                <c:pt idx="7">
                  <c:v>814</c:v>
                </c:pt>
                <c:pt idx="8">
                  <c:v>424</c:v>
                </c:pt>
                <c:pt idx="9">
                  <c:v>445</c:v>
                </c:pt>
                <c:pt idx="10">
                  <c:v>505</c:v>
                </c:pt>
                <c:pt idx="11">
                  <c:v>537</c:v>
                </c:pt>
                <c:pt idx="12">
                  <c:v>610</c:v>
                </c:pt>
                <c:pt idx="13">
                  <c:v>625</c:v>
                </c:pt>
                <c:pt idx="14">
                  <c:v>141</c:v>
                </c:pt>
                <c:pt idx="15">
                  <c:v>125</c:v>
                </c:pt>
                <c:pt idx="16">
                  <c:v>508</c:v>
                </c:pt>
                <c:pt idx="17">
                  <c:v>530</c:v>
                </c:pt>
                <c:pt idx="18">
                  <c:v>321</c:v>
                </c:pt>
                <c:pt idx="19">
                  <c:v>322</c:v>
                </c:pt>
                <c:pt idx="20">
                  <c:v>915</c:v>
                </c:pt>
                <c:pt idx="21">
                  <c:v>909</c:v>
                </c:pt>
                <c:pt idx="22">
                  <c:v>1112</c:v>
                </c:pt>
                <c:pt idx="23">
                  <c:v>1103</c:v>
                </c:pt>
                <c:pt idx="24">
                  <c:v>100</c:v>
                </c:pt>
                <c:pt idx="25">
                  <c:v>105</c:v>
                </c:pt>
                <c:pt idx="26">
                  <c:v>779</c:v>
                </c:pt>
                <c:pt idx="27">
                  <c:v>774</c:v>
                </c:pt>
              </c:numCache>
            </c:numRef>
          </c:val>
        </c:ser>
        <c:gapWidth val="100"/>
        <c:overlap val="100"/>
        <c:axId val="79540921"/>
        <c:axId val="95861797"/>
      </c:barChart>
      <c:catAx>
        <c:axId val="79540921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 rot="6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95861797"/>
        <c:crossesAt val="0"/>
        <c:auto val="1"/>
        <c:lblAlgn val="ctr"/>
        <c:lblOffset val="100"/>
        <c:noMultiLvlLbl val="0"/>
      </c:catAx>
      <c:valAx>
        <c:axId val="95861797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79540921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chi3_int!$C$1:$C$1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chi3_int!$C$2:$C$11</c:f>
              <c:numCache>
                <c:formatCode>General</c:formatCode>
                <c:ptCount val="10"/>
                <c:pt idx="0">
                  <c:v>9</c:v>
                </c:pt>
                <c:pt idx="1">
                  <c:v>4</c:v>
                </c:pt>
                <c:pt idx="2">
                  <c:v>111</c:v>
                </c:pt>
                <c:pt idx="3">
                  <c:v>119</c:v>
                </c:pt>
                <c:pt idx="4">
                  <c:v>85</c:v>
                </c:pt>
                <c:pt idx="5">
                  <c:v>75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</c:numCache>
            </c:numRef>
          </c:val>
        </c:ser>
        <c:ser>
          <c:idx val="1"/>
          <c:order val="1"/>
          <c:tx>
            <c:strRef>
              <c:f>chi3_int!$D$1:$D$1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chi3_int!$D$2:$D$11</c:f>
              <c:numCache>
                <c:formatCode>General</c:formatCode>
                <c:ptCount val="10"/>
                <c:pt idx="0">
                  <c:v>179</c:v>
                </c:pt>
                <c:pt idx="1">
                  <c:v>170</c:v>
                </c:pt>
                <c:pt idx="2">
                  <c:v>65</c:v>
                </c:pt>
                <c:pt idx="3">
                  <c:v>79</c:v>
                </c:pt>
                <c:pt idx="4">
                  <c:v>78</c:v>
                </c:pt>
                <c:pt idx="5">
                  <c:v>74</c:v>
                </c:pt>
                <c:pt idx="6">
                  <c:v>68</c:v>
                </c:pt>
                <c:pt idx="7">
                  <c:v>81</c:v>
                </c:pt>
                <c:pt idx="8">
                  <c:v>37</c:v>
                </c:pt>
                <c:pt idx="9">
                  <c:v>37</c:v>
                </c:pt>
              </c:numCache>
            </c:numRef>
          </c:val>
        </c:ser>
        <c:ser>
          <c:idx val="2"/>
          <c:order val="2"/>
          <c:tx>
            <c:strRef>
              <c:f>chi3_int!$E$1:$E$1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chi3_int!$E$2:$E$11</c:f>
              <c:numCache>
                <c:formatCode>General</c:formatCode>
                <c:ptCount val="10"/>
                <c:pt idx="0">
                  <c:v>42</c:v>
                </c:pt>
                <c:pt idx="1">
                  <c:v>42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30</c:v>
                </c:pt>
                <c:pt idx="6">
                  <c:v>36</c:v>
                </c:pt>
                <c:pt idx="7">
                  <c:v>43</c:v>
                </c:pt>
                <c:pt idx="8">
                  <c:v>16</c:v>
                </c:pt>
                <c:pt idx="9">
                  <c:v>14</c:v>
                </c:pt>
              </c:numCache>
            </c:numRef>
          </c:val>
        </c:ser>
        <c:ser>
          <c:idx val="3"/>
          <c:order val="3"/>
          <c:tx>
            <c:strRef>
              <c:f>chi3_int!$F$1:$F$1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chi3_int!$F$2:$F$11</c:f>
              <c:numCache>
                <c:formatCode>General</c:formatCode>
                <c:ptCount val="10"/>
                <c:pt idx="0">
                  <c:v>338</c:v>
                </c:pt>
                <c:pt idx="1">
                  <c:v>337</c:v>
                </c:pt>
                <c:pt idx="2">
                  <c:v>51</c:v>
                </c:pt>
                <c:pt idx="3">
                  <c:v>27</c:v>
                </c:pt>
                <c:pt idx="4">
                  <c:v>22</c:v>
                </c:pt>
                <c:pt idx="5">
                  <c:v>26</c:v>
                </c:pt>
                <c:pt idx="6">
                  <c:v>440</c:v>
                </c:pt>
                <c:pt idx="7">
                  <c:v>425</c:v>
                </c:pt>
                <c:pt idx="8">
                  <c:v>20</c:v>
                </c:pt>
                <c:pt idx="9">
                  <c:v>15</c:v>
                </c:pt>
              </c:numCache>
            </c:numRef>
          </c:val>
        </c:ser>
        <c:ser>
          <c:idx val="4"/>
          <c:order val="4"/>
          <c:tx>
            <c:strRef>
              <c:f>chi3_int!$G$1:$G$1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chi3_int!$G$2:$G$11</c:f>
              <c:numCache>
                <c:formatCode>General</c:formatCode>
                <c:ptCount val="10"/>
                <c:pt idx="0">
                  <c:v>59</c:v>
                </c:pt>
                <c:pt idx="1">
                  <c:v>57</c:v>
                </c:pt>
                <c:pt idx="2">
                  <c:v>26</c:v>
                </c:pt>
                <c:pt idx="3">
                  <c:v>14</c:v>
                </c:pt>
                <c:pt idx="4">
                  <c:v>20</c:v>
                </c:pt>
                <c:pt idx="5">
                  <c:v>19</c:v>
                </c:pt>
                <c:pt idx="6">
                  <c:v>38</c:v>
                </c:pt>
                <c:pt idx="7">
                  <c:v>35</c:v>
                </c:pt>
                <c:pt idx="8">
                  <c:v>8</c:v>
                </c:pt>
                <c:pt idx="9">
                  <c:v>12</c:v>
                </c:pt>
              </c:numCache>
            </c:numRef>
          </c:val>
        </c:ser>
        <c:ser>
          <c:idx val="5"/>
          <c:order val="5"/>
          <c:tx>
            <c:strRef>
              <c:f>chi3_int!$H$1:$H$1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chi3_int!$H$2:$H$11</c:f>
              <c:numCache>
                <c:formatCode>General</c:formatCode>
                <c:ptCount val="10"/>
                <c:pt idx="0">
                  <c:v>205</c:v>
                </c:pt>
                <c:pt idx="1">
                  <c:v>222</c:v>
                </c:pt>
                <c:pt idx="2">
                  <c:v>82</c:v>
                </c:pt>
                <c:pt idx="3">
                  <c:v>96</c:v>
                </c:pt>
                <c:pt idx="4">
                  <c:v>71</c:v>
                </c:pt>
                <c:pt idx="5">
                  <c:v>67</c:v>
                </c:pt>
                <c:pt idx="6">
                  <c:v>80</c:v>
                </c:pt>
                <c:pt idx="7">
                  <c:v>81</c:v>
                </c:pt>
                <c:pt idx="8">
                  <c:v>39</c:v>
                </c:pt>
                <c:pt idx="9">
                  <c:v>38</c:v>
                </c:pt>
              </c:numCache>
            </c:numRef>
          </c:val>
        </c:ser>
        <c:gapWidth val="100"/>
        <c:overlap val="100"/>
        <c:axId val="83368164"/>
        <c:axId val="64852712"/>
      </c:barChart>
      <c:catAx>
        <c:axId val="83368164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64852712"/>
        <c:crossesAt val="0"/>
        <c:auto val="1"/>
        <c:lblAlgn val="ctr"/>
        <c:lblOffset val="100"/>
        <c:noMultiLvlLbl val="0"/>
      </c:catAx>
      <c:valAx>
        <c:axId val="6485271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83368164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chi3_nonint!$C$1:$C$1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chi3_nonint!$A$2:$B$11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chi3_nonint!$C$2:$C$11</c:f>
              <c:numCache>
                <c:formatCode>General</c:formatCode>
                <c:ptCount val="10"/>
                <c:pt idx="0">
                  <c:v>34</c:v>
                </c:pt>
                <c:pt idx="1">
                  <c:v>36</c:v>
                </c:pt>
                <c:pt idx="2">
                  <c:v>1597</c:v>
                </c:pt>
                <c:pt idx="3">
                  <c:v>1739</c:v>
                </c:pt>
                <c:pt idx="4">
                  <c:v>563</c:v>
                </c:pt>
                <c:pt idx="5">
                  <c:v>595</c:v>
                </c:pt>
                <c:pt idx="6">
                  <c:v>9</c:v>
                </c:pt>
                <c:pt idx="7">
                  <c:v>10</c:v>
                </c:pt>
                <c:pt idx="8">
                  <c:v>24</c:v>
                </c:pt>
                <c:pt idx="9">
                  <c:v>13</c:v>
                </c:pt>
              </c:numCache>
            </c:numRef>
          </c:val>
        </c:ser>
        <c:ser>
          <c:idx val="1"/>
          <c:order val="1"/>
          <c:tx>
            <c:strRef>
              <c:f>chi3_nonint!$D$1:$D$1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chi3_nonint!$A$2:$B$11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chi3_nonint!$D$2:$D$11</c:f>
              <c:numCache>
                <c:formatCode>General</c:formatCode>
                <c:ptCount val="10"/>
                <c:pt idx="0">
                  <c:v>763</c:v>
                </c:pt>
                <c:pt idx="1">
                  <c:v>789</c:v>
                </c:pt>
                <c:pt idx="2">
                  <c:v>1001</c:v>
                </c:pt>
                <c:pt idx="3">
                  <c:v>992</c:v>
                </c:pt>
                <c:pt idx="4">
                  <c:v>582</c:v>
                </c:pt>
                <c:pt idx="5">
                  <c:v>524</c:v>
                </c:pt>
                <c:pt idx="6">
                  <c:v>441</c:v>
                </c:pt>
                <c:pt idx="7">
                  <c:v>470</c:v>
                </c:pt>
                <c:pt idx="8">
                  <c:v>357</c:v>
                </c:pt>
                <c:pt idx="9">
                  <c:v>324</c:v>
                </c:pt>
              </c:numCache>
            </c:numRef>
          </c:val>
        </c:ser>
        <c:ser>
          <c:idx val="2"/>
          <c:order val="2"/>
          <c:tx>
            <c:strRef>
              <c:f>chi3_nonint!$E$1:$E$1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chi3_nonint!$A$2:$B$11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chi3_nonint!$E$2:$E$11</c:f>
              <c:numCache>
                <c:formatCode>General</c:formatCode>
                <c:ptCount val="10"/>
                <c:pt idx="0">
                  <c:v>206</c:v>
                </c:pt>
                <c:pt idx="1">
                  <c:v>185</c:v>
                </c:pt>
                <c:pt idx="2">
                  <c:v>238</c:v>
                </c:pt>
                <c:pt idx="3">
                  <c:v>245</c:v>
                </c:pt>
                <c:pt idx="4">
                  <c:v>158</c:v>
                </c:pt>
                <c:pt idx="5">
                  <c:v>165</c:v>
                </c:pt>
                <c:pt idx="6">
                  <c:v>187</c:v>
                </c:pt>
                <c:pt idx="7">
                  <c:v>217</c:v>
                </c:pt>
                <c:pt idx="8">
                  <c:v>118</c:v>
                </c:pt>
                <c:pt idx="9">
                  <c:v>130</c:v>
                </c:pt>
              </c:numCache>
            </c:numRef>
          </c:val>
        </c:ser>
        <c:ser>
          <c:idx val="3"/>
          <c:order val="3"/>
          <c:tx>
            <c:strRef>
              <c:f>chi3_nonint!$F$1:$F$1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chi3_nonint!$A$2:$B$11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chi3_nonint!$F$2:$F$11</c:f>
              <c:numCache>
                <c:formatCode>General</c:formatCode>
                <c:ptCount val="10"/>
                <c:pt idx="0">
                  <c:v>1418</c:v>
                </c:pt>
                <c:pt idx="1">
                  <c:v>1449</c:v>
                </c:pt>
                <c:pt idx="2">
                  <c:v>542</c:v>
                </c:pt>
                <c:pt idx="3">
                  <c:v>499</c:v>
                </c:pt>
                <c:pt idx="4">
                  <c:v>158</c:v>
                </c:pt>
                <c:pt idx="5">
                  <c:v>162</c:v>
                </c:pt>
                <c:pt idx="6">
                  <c:v>2599</c:v>
                </c:pt>
                <c:pt idx="7">
                  <c:v>2616</c:v>
                </c:pt>
                <c:pt idx="8">
                  <c:v>154</c:v>
                </c:pt>
                <c:pt idx="9">
                  <c:v>168</c:v>
                </c:pt>
              </c:numCache>
            </c:numRef>
          </c:val>
        </c:ser>
        <c:ser>
          <c:idx val="4"/>
          <c:order val="4"/>
          <c:tx>
            <c:strRef>
              <c:f>chi3_nonint!$G$1:$G$1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chi3_nonint!$A$2:$B$11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chi3_nonint!$G$2:$G$11</c:f>
              <c:numCache>
                <c:formatCode>General</c:formatCode>
                <c:ptCount val="10"/>
                <c:pt idx="0">
                  <c:v>225</c:v>
                </c:pt>
                <c:pt idx="1">
                  <c:v>186</c:v>
                </c:pt>
                <c:pt idx="2">
                  <c:v>213</c:v>
                </c:pt>
                <c:pt idx="3">
                  <c:v>171</c:v>
                </c:pt>
                <c:pt idx="4">
                  <c:v>149</c:v>
                </c:pt>
                <c:pt idx="5">
                  <c:v>170</c:v>
                </c:pt>
                <c:pt idx="6">
                  <c:v>229</c:v>
                </c:pt>
                <c:pt idx="7">
                  <c:v>205</c:v>
                </c:pt>
                <c:pt idx="8">
                  <c:v>104</c:v>
                </c:pt>
                <c:pt idx="9">
                  <c:v>99</c:v>
                </c:pt>
              </c:numCache>
            </c:numRef>
          </c:val>
        </c:ser>
        <c:ser>
          <c:idx val="5"/>
          <c:order val="5"/>
          <c:tx>
            <c:strRef>
              <c:f>chi3_nonint!$H$1:$H$1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chi3_nonint!$A$2:$B$11</c:f>
              <c:multiLvlStrCache>
                <c:ptCount val="10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  <c:pt idx="4">
                    <c:v>B</c:v>
                  </c:pt>
                  <c:pt idx="5">
                    <c:v>U</c:v>
                  </c:pt>
                  <c:pt idx="6">
                    <c:v>B</c:v>
                  </c:pt>
                  <c:pt idx="7">
                    <c:v>U</c:v>
                  </c:pt>
                  <c:pt idx="8">
                    <c:v>B</c:v>
                  </c:pt>
                  <c:pt idx="9">
                    <c:v>U</c:v>
                  </c:pt>
                </c:lvl>
                <c:lvl>
                  <c:pt idx="0">
                    <c:v>ARG</c:v>
                  </c:pt>
                  <c:pt idx="1">
                    <c:v>ARG</c:v>
                  </c:pt>
                  <c:pt idx="2">
                    <c:v>GLU</c:v>
                  </c:pt>
                  <c:pt idx="3">
                    <c:v>GLU</c:v>
                  </c:pt>
                  <c:pt idx="4">
                    <c:v>GLN</c:v>
                  </c:pt>
                  <c:pt idx="5">
                    <c:v>GLN</c:v>
                  </c:pt>
                  <c:pt idx="6">
                    <c:v>LYS</c:v>
                  </c:pt>
                  <c:pt idx="7">
                    <c:v>LYS</c:v>
                  </c:pt>
                  <c:pt idx="8">
                    <c:v>MET</c:v>
                  </c:pt>
                  <c:pt idx="9">
                    <c:v>MET</c:v>
                  </c:pt>
                </c:lvl>
              </c:multiLvlStrCache>
            </c:multiLvlStrRef>
          </c:cat>
          <c:val>
            <c:numRef>
              <c:f>chi3_nonint!$H$2:$H$11</c:f>
              <c:numCache>
                <c:formatCode>General</c:formatCode>
                <c:ptCount val="10"/>
                <c:pt idx="0">
                  <c:v>794</c:v>
                </c:pt>
                <c:pt idx="1">
                  <c:v>795</c:v>
                </c:pt>
                <c:pt idx="2">
                  <c:v>1192</c:v>
                </c:pt>
                <c:pt idx="3">
                  <c:v>1137</c:v>
                </c:pt>
                <c:pt idx="4">
                  <c:v>649</c:v>
                </c:pt>
                <c:pt idx="5">
                  <c:v>643</c:v>
                </c:pt>
                <c:pt idx="6">
                  <c:v>459</c:v>
                </c:pt>
                <c:pt idx="7">
                  <c:v>406</c:v>
                </c:pt>
                <c:pt idx="8">
                  <c:v>410</c:v>
                </c:pt>
                <c:pt idx="9">
                  <c:v>433</c:v>
                </c:pt>
              </c:numCache>
            </c:numRef>
          </c:val>
        </c:ser>
        <c:gapWidth val="100"/>
        <c:overlap val="100"/>
        <c:axId val="44756716"/>
        <c:axId val="83328943"/>
      </c:barChart>
      <c:catAx>
        <c:axId val="44756716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83328943"/>
        <c:crossesAt val="0"/>
        <c:auto val="1"/>
        <c:lblAlgn val="ctr"/>
        <c:lblOffset val="100"/>
        <c:noMultiLvlLbl val="0"/>
      </c:catAx>
      <c:valAx>
        <c:axId val="83328943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44756716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chi4_int!$C$1:$C$1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  <c:pt idx="2">
                    <c:v>LYS_I</c:v>
                  </c:pt>
                  <c:pt idx="3">
                    <c:v>LYS_I</c:v>
                  </c:pt>
                </c:lvl>
              </c:multiLvlStrCache>
            </c:multiLvlStrRef>
          </c:cat>
          <c:val>
            <c:numRef>
              <c:f>chi4_int!$C$2:$C$5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tx>
            <c:strRef>
              <c:f>chi4_int!$D$1:$D$1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  <c:pt idx="2">
                    <c:v>LYS_I</c:v>
                  </c:pt>
                  <c:pt idx="3">
                    <c:v>LYS_I</c:v>
                  </c:pt>
                </c:lvl>
              </c:multiLvlStrCache>
            </c:multiLvlStrRef>
          </c:cat>
          <c:val>
            <c:numRef>
              <c:f>chi4_int!$D$2:$D$5</c:f>
              <c:numCache>
                <c:formatCode>General</c:formatCode>
                <c:ptCount val="4"/>
                <c:pt idx="0">
                  <c:v>108</c:v>
                </c:pt>
                <c:pt idx="1">
                  <c:v>117</c:v>
                </c:pt>
                <c:pt idx="2">
                  <c:v>106</c:v>
                </c:pt>
                <c:pt idx="3">
                  <c:v>107</c:v>
                </c:pt>
              </c:numCache>
            </c:numRef>
          </c:val>
        </c:ser>
        <c:ser>
          <c:idx val="2"/>
          <c:order val="2"/>
          <c:tx>
            <c:strRef>
              <c:f>chi4_int!$E$1:$E$1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  <c:pt idx="2">
                    <c:v>LYS_I</c:v>
                  </c:pt>
                  <c:pt idx="3">
                    <c:v>LYS_I</c:v>
                  </c:pt>
                </c:lvl>
              </c:multiLvlStrCache>
            </c:multiLvlStrRef>
          </c:cat>
          <c:val>
            <c:numRef>
              <c:f>chi4_int!$E$2:$E$5</c:f>
              <c:numCache>
                <c:formatCode>General</c:formatCode>
                <c:ptCount val="4"/>
                <c:pt idx="0">
                  <c:v>141</c:v>
                </c:pt>
                <c:pt idx="1">
                  <c:v>133</c:v>
                </c:pt>
                <c:pt idx="2">
                  <c:v>36</c:v>
                </c:pt>
                <c:pt idx="3">
                  <c:v>35</c:v>
                </c:pt>
              </c:numCache>
            </c:numRef>
          </c:val>
        </c:ser>
        <c:ser>
          <c:idx val="3"/>
          <c:order val="3"/>
          <c:tx>
            <c:strRef>
              <c:f>chi4_int!$F$1:$F$1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  <c:pt idx="2">
                    <c:v>LYS_I</c:v>
                  </c:pt>
                  <c:pt idx="3">
                    <c:v>LYS_I</c:v>
                  </c:pt>
                </c:lvl>
              </c:multiLvlStrCache>
            </c:multiLvlStrRef>
          </c:cat>
          <c:val>
            <c:numRef>
              <c:f>chi4_int!$F$2:$F$5</c:f>
              <c:numCache>
                <c:formatCode>General</c:formatCode>
                <c:ptCount val="4"/>
                <c:pt idx="0">
                  <c:v>315</c:v>
                </c:pt>
                <c:pt idx="1">
                  <c:v>316</c:v>
                </c:pt>
                <c:pt idx="2">
                  <c:v>391</c:v>
                </c:pt>
                <c:pt idx="3">
                  <c:v>370</c:v>
                </c:pt>
              </c:numCache>
            </c:numRef>
          </c:val>
        </c:ser>
        <c:ser>
          <c:idx val="4"/>
          <c:order val="4"/>
          <c:tx>
            <c:strRef>
              <c:f>chi4_int!$G$1:$G$1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  <c:pt idx="2">
                    <c:v>LYS_I</c:v>
                  </c:pt>
                  <c:pt idx="3">
                    <c:v>LYS_I</c:v>
                  </c:pt>
                </c:lvl>
              </c:multiLvlStrCache>
            </c:multiLvlStrRef>
          </c:cat>
          <c:val>
            <c:numRef>
              <c:f>chi4_int!$G$2:$G$5</c:f>
              <c:numCache>
                <c:formatCode>General</c:formatCode>
                <c:ptCount val="4"/>
                <c:pt idx="0">
                  <c:v>141</c:v>
                </c:pt>
                <c:pt idx="1">
                  <c:v>128</c:v>
                </c:pt>
                <c:pt idx="2">
                  <c:v>34</c:v>
                </c:pt>
                <c:pt idx="3">
                  <c:v>35</c:v>
                </c:pt>
              </c:numCache>
            </c:numRef>
          </c:val>
        </c:ser>
        <c:ser>
          <c:idx val="5"/>
          <c:order val="5"/>
          <c:tx>
            <c:strRef>
              <c:f>chi4_int!$H$1:$H$1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  <c:pt idx="2">
                    <c:v>LYS_I</c:v>
                  </c:pt>
                  <c:pt idx="3">
                    <c:v>LYS_I</c:v>
                  </c:pt>
                </c:lvl>
              </c:multiLvlStrCache>
            </c:multiLvlStrRef>
          </c:cat>
          <c:val>
            <c:numRef>
              <c:f>chi4_int!$H$2:$H$5</c:f>
              <c:numCache>
                <c:formatCode>General</c:formatCode>
                <c:ptCount val="4"/>
                <c:pt idx="0">
                  <c:v>126</c:v>
                </c:pt>
                <c:pt idx="1">
                  <c:v>138</c:v>
                </c:pt>
                <c:pt idx="2">
                  <c:v>95</c:v>
                </c:pt>
                <c:pt idx="3">
                  <c:v>114</c:v>
                </c:pt>
              </c:numCache>
            </c:numRef>
          </c:val>
        </c:ser>
        <c:gapWidth val="100"/>
        <c:overlap val="100"/>
        <c:axId val="84411949"/>
        <c:axId val="34599561"/>
      </c:barChart>
      <c:catAx>
        <c:axId val="84411949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34599561"/>
        <c:crossesAt val="0"/>
        <c:auto val="1"/>
        <c:lblAlgn val="ctr"/>
        <c:lblOffset val="100"/>
        <c:noMultiLvlLbl val="0"/>
      </c:catAx>
      <c:valAx>
        <c:axId val="34599561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84411949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chi4_nonint!$C$1:$C$1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chi4_nonint!$A$2:$B$5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  <c:pt idx="2">
                    <c:v>LYS_N</c:v>
                  </c:pt>
                  <c:pt idx="3">
                    <c:v>LYS_N</c:v>
                  </c:pt>
                </c:lvl>
              </c:multiLvlStrCache>
            </c:multiLvlStrRef>
          </c:cat>
          <c:val>
            <c:numRef>
              <c:f>chi4_nonint!$C$2:$C$5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31</c:v>
                </c:pt>
                <c:pt idx="3">
                  <c:v>36</c:v>
                </c:pt>
              </c:numCache>
            </c:numRef>
          </c:val>
        </c:ser>
        <c:ser>
          <c:idx val="1"/>
          <c:order val="1"/>
          <c:tx>
            <c:strRef>
              <c:f>chi4_nonint!$D$1:$D$1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chi4_nonint!$A$2:$B$5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  <c:pt idx="2">
                    <c:v>LYS_N</c:v>
                  </c:pt>
                  <c:pt idx="3">
                    <c:v>LYS_N</c:v>
                  </c:pt>
                </c:lvl>
              </c:multiLvlStrCache>
            </c:multiLvlStrRef>
          </c:cat>
          <c:val>
            <c:numRef>
              <c:f>chi4_nonint!$D$2:$D$5</c:f>
              <c:numCache>
                <c:formatCode>General</c:formatCode>
                <c:ptCount val="4"/>
                <c:pt idx="0">
                  <c:v>491</c:v>
                </c:pt>
                <c:pt idx="1">
                  <c:v>489</c:v>
                </c:pt>
                <c:pt idx="2">
                  <c:v>601</c:v>
                </c:pt>
                <c:pt idx="3">
                  <c:v>612</c:v>
                </c:pt>
              </c:numCache>
            </c:numRef>
          </c:val>
        </c:ser>
        <c:ser>
          <c:idx val="2"/>
          <c:order val="2"/>
          <c:tx>
            <c:strRef>
              <c:f>chi4_nonint!$E$1:$E$1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chi4_nonint!$A$2:$B$5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  <c:pt idx="2">
                    <c:v>LYS_N</c:v>
                  </c:pt>
                  <c:pt idx="3">
                    <c:v>LYS_N</c:v>
                  </c:pt>
                </c:lvl>
              </c:multiLvlStrCache>
            </c:multiLvlStrRef>
          </c:cat>
          <c:val>
            <c:numRef>
              <c:f>chi4_nonint!$E$2:$E$5</c:f>
              <c:numCache>
                <c:formatCode>General</c:formatCode>
                <c:ptCount val="4"/>
                <c:pt idx="0">
                  <c:v>571</c:v>
                </c:pt>
                <c:pt idx="1">
                  <c:v>529</c:v>
                </c:pt>
                <c:pt idx="2">
                  <c:v>159</c:v>
                </c:pt>
                <c:pt idx="3">
                  <c:v>157</c:v>
                </c:pt>
              </c:numCache>
            </c:numRef>
          </c:val>
        </c:ser>
        <c:ser>
          <c:idx val="3"/>
          <c:order val="3"/>
          <c:tx>
            <c:strRef>
              <c:f>chi4_nonint!$F$1:$F$1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chi4_nonint!$A$2:$B$5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  <c:pt idx="2">
                    <c:v>LYS_N</c:v>
                  </c:pt>
                  <c:pt idx="3">
                    <c:v>LYS_N</c:v>
                  </c:pt>
                </c:lvl>
              </c:multiLvlStrCache>
            </c:multiLvlStrRef>
          </c:cat>
          <c:val>
            <c:numRef>
              <c:f>chi4_nonint!$F$2:$F$5</c:f>
              <c:numCache>
                <c:formatCode>General</c:formatCode>
                <c:ptCount val="4"/>
                <c:pt idx="0">
                  <c:v>1312</c:v>
                </c:pt>
                <c:pt idx="1">
                  <c:v>1361</c:v>
                </c:pt>
                <c:pt idx="2">
                  <c:v>2319</c:v>
                </c:pt>
                <c:pt idx="3">
                  <c:v>2371</c:v>
                </c:pt>
              </c:numCache>
            </c:numRef>
          </c:val>
        </c:ser>
        <c:ser>
          <c:idx val="4"/>
          <c:order val="4"/>
          <c:tx>
            <c:strRef>
              <c:f>chi4_nonint!$G$1:$G$1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chi4_nonint!$A$2:$B$5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  <c:pt idx="2">
                    <c:v>LYS_N</c:v>
                  </c:pt>
                  <c:pt idx="3">
                    <c:v>LYS_N</c:v>
                  </c:pt>
                </c:lvl>
              </c:multiLvlStrCache>
            </c:multiLvlStrRef>
          </c:cat>
          <c:val>
            <c:numRef>
              <c:f>chi4_nonint!$G$2:$G$5</c:f>
              <c:numCache>
                <c:formatCode>General</c:formatCode>
                <c:ptCount val="4"/>
                <c:pt idx="0">
                  <c:v>554</c:v>
                </c:pt>
                <c:pt idx="1">
                  <c:v>553</c:v>
                </c:pt>
                <c:pt idx="2">
                  <c:v>188</c:v>
                </c:pt>
                <c:pt idx="3">
                  <c:v>162</c:v>
                </c:pt>
              </c:numCache>
            </c:numRef>
          </c:val>
        </c:ser>
        <c:ser>
          <c:idx val="5"/>
          <c:order val="5"/>
          <c:tx>
            <c:strRef>
              <c:f>chi4_nonint!$H$1:$H$1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chi4_nonint!$A$2:$B$5</c:f>
              <c:multiLvlStrCache>
                <c:ptCount val="4"/>
                <c:lvl>
                  <c:pt idx="0">
                    <c:v>B</c:v>
                  </c:pt>
                  <c:pt idx="1">
                    <c:v>U</c:v>
                  </c:pt>
                  <c:pt idx="2">
                    <c:v>B</c:v>
                  </c:pt>
                  <c:pt idx="3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  <c:pt idx="2">
                    <c:v>LYS_N</c:v>
                  </c:pt>
                  <c:pt idx="3">
                    <c:v>LYS_N</c:v>
                  </c:pt>
                </c:lvl>
              </c:multiLvlStrCache>
            </c:multiLvlStrRef>
          </c:cat>
          <c:val>
            <c:numRef>
              <c:f>chi4_nonint!$H$2:$H$5</c:f>
              <c:numCache>
                <c:formatCode>General</c:formatCode>
                <c:ptCount val="4"/>
                <c:pt idx="0">
                  <c:v>507</c:v>
                </c:pt>
                <c:pt idx="1">
                  <c:v>499</c:v>
                </c:pt>
                <c:pt idx="2">
                  <c:v>626</c:v>
                </c:pt>
                <c:pt idx="3">
                  <c:v>586</c:v>
                </c:pt>
              </c:numCache>
            </c:numRef>
          </c:val>
        </c:ser>
        <c:gapWidth val="100"/>
        <c:overlap val="100"/>
        <c:axId val="84802945"/>
        <c:axId val="77131610"/>
      </c:barChart>
      <c:catAx>
        <c:axId val="84802945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77131610"/>
        <c:crossesAt val="0"/>
        <c:auto val="1"/>
        <c:lblAlgn val="ctr"/>
        <c:lblOffset val="100"/>
        <c:noMultiLvlLbl val="0"/>
      </c:catAx>
      <c:valAx>
        <c:axId val="7713161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84802945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chi5_int!$C$1:$C$1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</c:lvl>
              </c:multiLvlStrCache>
            </c:multiLvlStrRef>
          </c:cat>
          <c:val>
            <c:numRef>
              <c:f>chi5_int!$C$2:$C$3</c:f>
              <c:numCache>
                <c:formatCode>General</c:formatCode>
                <c:ptCount val="2"/>
                <c:pt idx="0">
                  <c:v>735</c:v>
                </c:pt>
                <c:pt idx="1">
                  <c:v>764</c:v>
                </c:pt>
              </c:numCache>
            </c:numRef>
          </c:val>
        </c:ser>
        <c:ser>
          <c:idx val="1"/>
          <c:order val="1"/>
          <c:tx>
            <c:strRef>
              <c:f>chi5_int!$D$1:$D$1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</c:lvl>
              </c:multiLvlStrCache>
            </c:multiLvlStrRef>
          </c:cat>
          <c:val>
            <c:numRef>
              <c:f>chi5_int!$D$2:$D$3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chi5_int!$E$1:$E$1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</c:lvl>
              </c:multiLvlStrCache>
            </c:multiLvlStrRef>
          </c:cat>
          <c:val>
            <c:numRef>
              <c:f>chi5_int!$E$2:$E$3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strRef>
              <c:f>chi5_int!$F$1:$F$1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</c:lvl>
              </c:multiLvlStrCache>
            </c:multiLvlStrRef>
          </c:cat>
          <c:val>
            <c:numRef>
              <c:f>chi5_int!$F$2:$F$3</c:f>
              <c:numCache>
                <c:formatCode>General</c:formatCode>
                <c:ptCount val="2"/>
                <c:pt idx="0">
                  <c:v>96</c:v>
                </c:pt>
                <c:pt idx="1">
                  <c:v>65</c:v>
                </c:pt>
              </c:numCache>
            </c:numRef>
          </c:val>
        </c:ser>
        <c:ser>
          <c:idx val="4"/>
          <c:order val="4"/>
          <c:tx>
            <c:strRef>
              <c:f>chi5_int!$G$1:$G$1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</c:lvl>
              </c:multiLvlStrCache>
            </c:multiLvlStrRef>
          </c:cat>
          <c:val>
            <c:numRef>
              <c:f>chi5_int!$G$2:$G$3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chi5_int!$H$1:$H$1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ARG_I</c:v>
                  </c:pt>
                  <c:pt idx="1">
                    <c:v>ARG_I</c:v>
                  </c:pt>
                </c:lvl>
              </c:multiLvlStrCache>
            </c:multiLvlStrRef>
          </c:cat>
          <c:val>
            <c:numRef>
              <c:f>chi5_int!$H$2:$H$3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gapWidth val="100"/>
        <c:overlap val="100"/>
        <c:axId val="86285190"/>
        <c:axId val="49375275"/>
      </c:barChart>
      <c:catAx>
        <c:axId val="86285190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49375275"/>
        <c:crossesAt val="0"/>
        <c:auto val="1"/>
        <c:lblAlgn val="ctr"/>
        <c:lblOffset val="100"/>
        <c:noMultiLvlLbl val="0"/>
      </c:catAx>
      <c:valAx>
        <c:axId val="49375275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86285190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percentStacked"/>
        <c:varyColors val="0"/>
        <c:ser>
          <c:idx val="0"/>
          <c:order val="0"/>
          <c:tx>
            <c:strRef>
              <c:f>chi5_nonint!$C$1:$C$1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chi5_nonint!$A$2:$B$3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</c:lvl>
              </c:multiLvlStrCache>
            </c:multiLvlStrRef>
          </c:cat>
          <c:val>
            <c:numRef>
              <c:f>chi5_nonint!$C$2:$C$3</c:f>
              <c:numCache>
                <c:formatCode>General</c:formatCode>
                <c:ptCount val="2"/>
                <c:pt idx="0">
                  <c:v>3166</c:v>
                </c:pt>
                <c:pt idx="1">
                  <c:v>3155</c:v>
                </c:pt>
              </c:numCache>
            </c:numRef>
          </c:val>
        </c:ser>
        <c:ser>
          <c:idx val="1"/>
          <c:order val="1"/>
          <c:tx>
            <c:strRef>
              <c:f>chi5_nonint!$D$1:$D$1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chi5_nonint!$A$2:$B$3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</c:lvl>
              </c:multiLvlStrCache>
            </c:multiLvlStrRef>
          </c:cat>
          <c:val>
            <c:numRef>
              <c:f>chi5_nonint!$D$2:$D$3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ser>
          <c:idx val="2"/>
          <c:order val="2"/>
          <c:tx>
            <c:strRef>
              <c:f>chi5_nonint!$E$1:$E$1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chi5_nonint!$A$2:$B$3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</c:lvl>
              </c:multiLvlStrCache>
            </c:multiLvlStrRef>
          </c:cat>
          <c:val>
            <c:numRef>
              <c:f>chi5_nonint!$E$2:$E$3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chi5_nonint!$F$1:$F$1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chi5_nonint!$A$2:$B$3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</c:lvl>
              </c:multiLvlStrCache>
            </c:multiLvlStrRef>
          </c:cat>
          <c:val>
            <c:numRef>
              <c:f>chi5_nonint!$F$2:$F$3</c:f>
              <c:numCache>
                <c:formatCode>General</c:formatCode>
                <c:ptCount val="2"/>
                <c:pt idx="0">
                  <c:v>273</c:v>
                </c:pt>
                <c:pt idx="1">
                  <c:v>281</c:v>
                </c:pt>
              </c:numCache>
            </c:numRef>
          </c:val>
        </c:ser>
        <c:ser>
          <c:idx val="4"/>
          <c:order val="4"/>
          <c:tx>
            <c:strRef>
              <c:f>chi5_nonint!$G$1:$G$1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chi5_nonint!$A$2:$B$3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</c:lvl>
              </c:multiLvlStrCache>
            </c:multiLvlStrRef>
          </c:cat>
          <c:val>
            <c:numRef>
              <c:f>chi5_nonint!$G$2:$G$3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chi5_nonint!$H$1:$H$1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chi5_nonint!$A$2:$B$3</c:f>
              <c:multiLvlStrCache>
                <c:ptCount val="2"/>
                <c:lvl>
                  <c:pt idx="0">
                    <c:v>B</c:v>
                  </c:pt>
                  <c:pt idx="1">
                    <c:v>U</c:v>
                  </c:pt>
                </c:lvl>
                <c:lvl>
                  <c:pt idx="0">
                    <c:v>ARG_N</c:v>
                  </c:pt>
                  <c:pt idx="1">
                    <c:v>ARG_N</c:v>
                  </c:pt>
                </c:lvl>
              </c:multiLvlStrCache>
            </c:multiLvlStrRef>
          </c:cat>
          <c:val>
            <c:numRef>
              <c:f>chi5_nonint!$H$2:$H$3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gapWidth val="100"/>
        <c:overlap val="100"/>
        <c:axId val="70038806"/>
        <c:axId val="88286386"/>
      </c:barChart>
      <c:catAx>
        <c:axId val="70038806"/>
        <c:scaling>
          <c:orientation val="minMax"/>
        </c:scaling>
        <c:delete val="0"/>
        <c:axPos val="b"/>
        <c:numFmt formatCode="General" sourceLinked="0"/>
        <c:majorTickMark val="out"/>
        <c:minorTickMark val="out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88286386"/>
        <c:crossesAt val="0"/>
        <c:auto val="1"/>
        <c:lblAlgn val="ctr"/>
        <c:lblOffset val="100"/>
        <c:noMultiLvlLbl val="0"/>
      </c:catAx>
      <c:valAx>
        <c:axId val="88286386"/>
        <c:scaling>
          <c:orientation val="minMax"/>
        </c:scaling>
        <c:delete val="0"/>
        <c:axPos val="l"/>
        <c:numFmt formatCode="[$-4009]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 Narrow"/>
              </a:defRPr>
            </a:pPr>
          </a:p>
        </c:txPr>
        <c:crossAx val="70038806"/>
        <c:crossesAt val="0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 Narrow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8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8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9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532800</xdr:colOff>
      <xdr:row>3</xdr:row>
      <xdr:rowOff>9720</xdr:rowOff>
    </xdr:from>
    <xdr:to>
      <xdr:col>18</xdr:col>
      <xdr:colOff>789840</xdr:colOff>
      <xdr:row>27</xdr:row>
      <xdr:rowOff>132480</xdr:rowOff>
    </xdr:to>
    <xdr:graphicFrame>
      <xdr:nvGraphicFramePr>
        <xdr:cNvPr id="0" name="Chart 1"/>
        <xdr:cNvGraphicFramePr/>
      </xdr:nvGraphicFramePr>
      <xdr:xfrm>
        <a:off x="5136480" y="512640"/>
        <a:ext cx="8147520" cy="414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720</xdr:colOff>
      <xdr:row>2</xdr:row>
      <xdr:rowOff>157680</xdr:rowOff>
    </xdr:from>
    <xdr:to>
      <xdr:col>17</xdr:col>
      <xdr:colOff>754200</xdr:colOff>
      <xdr:row>24</xdr:row>
      <xdr:rowOff>99720</xdr:rowOff>
    </xdr:to>
    <xdr:graphicFrame>
      <xdr:nvGraphicFramePr>
        <xdr:cNvPr id="1" name="Chart 1"/>
        <xdr:cNvGraphicFramePr/>
      </xdr:nvGraphicFramePr>
      <xdr:xfrm>
        <a:off x="5145480" y="492840"/>
        <a:ext cx="7286400" cy="363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24840</xdr:colOff>
      <xdr:row>3</xdr:row>
      <xdr:rowOff>7920</xdr:rowOff>
    </xdr:from>
    <xdr:to>
      <xdr:col>17</xdr:col>
      <xdr:colOff>704160</xdr:colOff>
      <xdr:row>24</xdr:row>
      <xdr:rowOff>13320</xdr:rowOff>
    </xdr:to>
    <xdr:graphicFrame>
      <xdr:nvGraphicFramePr>
        <xdr:cNvPr id="2" name="Chart 1"/>
        <xdr:cNvGraphicFramePr/>
      </xdr:nvGraphicFramePr>
      <xdr:xfrm>
        <a:off x="5113080" y="510840"/>
        <a:ext cx="6760080" cy="352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324000</xdr:colOff>
      <xdr:row>3</xdr:row>
      <xdr:rowOff>10080</xdr:rowOff>
    </xdr:from>
    <xdr:to>
      <xdr:col>20</xdr:col>
      <xdr:colOff>316080</xdr:colOff>
      <xdr:row>25</xdr:row>
      <xdr:rowOff>57240</xdr:rowOff>
    </xdr:to>
    <xdr:graphicFrame>
      <xdr:nvGraphicFramePr>
        <xdr:cNvPr id="3" name="Chart 2"/>
        <xdr:cNvGraphicFramePr/>
      </xdr:nvGraphicFramePr>
      <xdr:xfrm>
        <a:off x="6932520" y="513000"/>
        <a:ext cx="6832800" cy="373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9720</xdr:colOff>
      <xdr:row>12</xdr:row>
      <xdr:rowOff>11520</xdr:rowOff>
    </xdr:from>
    <xdr:to>
      <xdr:col>8</xdr:col>
      <xdr:colOff>514080</xdr:colOff>
      <xdr:row>27</xdr:row>
      <xdr:rowOff>160200</xdr:rowOff>
    </xdr:to>
    <xdr:graphicFrame>
      <xdr:nvGraphicFramePr>
        <xdr:cNvPr id="4" name="Chart 3"/>
        <xdr:cNvGraphicFramePr/>
      </xdr:nvGraphicFramePr>
      <xdr:xfrm>
        <a:off x="9720" y="2114640"/>
        <a:ext cx="5051520" cy="277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13680</xdr:rowOff>
    </xdr:from>
    <xdr:to>
      <xdr:col>8</xdr:col>
      <xdr:colOff>517320</xdr:colOff>
      <xdr:row>27</xdr:row>
      <xdr:rowOff>147240</xdr:rowOff>
    </xdr:to>
    <xdr:graphicFrame>
      <xdr:nvGraphicFramePr>
        <xdr:cNvPr id="5" name="Chart 4"/>
        <xdr:cNvGraphicFramePr/>
      </xdr:nvGraphicFramePr>
      <xdr:xfrm>
        <a:off x="0" y="2116800"/>
        <a:ext cx="5064480" cy="276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11880</xdr:colOff>
      <xdr:row>8</xdr:row>
      <xdr:rowOff>35640</xdr:rowOff>
    </xdr:from>
    <xdr:to>
      <xdr:col>8</xdr:col>
      <xdr:colOff>507600</xdr:colOff>
      <xdr:row>24</xdr:row>
      <xdr:rowOff>1440</xdr:rowOff>
    </xdr:to>
    <xdr:graphicFrame>
      <xdr:nvGraphicFramePr>
        <xdr:cNvPr id="6" name="Chart 5"/>
        <xdr:cNvGraphicFramePr/>
      </xdr:nvGraphicFramePr>
      <xdr:xfrm>
        <a:off x="11880" y="1437840"/>
        <a:ext cx="5042880" cy="276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23760</xdr:colOff>
      <xdr:row>8</xdr:row>
      <xdr:rowOff>29160</xdr:rowOff>
    </xdr:from>
    <xdr:to>
      <xdr:col>8</xdr:col>
      <xdr:colOff>531720</xdr:colOff>
      <xdr:row>21</xdr:row>
      <xdr:rowOff>147600</xdr:rowOff>
    </xdr:to>
    <xdr:graphicFrame>
      <xdr:nvGraphicFramePr>
        <xdr:cNvPr id="7" name="Chart 6"/>
        <xdr:cNvGraphicFramePr/>
      </xdr:nvGraphicFramePr>
      <xdr:xfrm>
        <a:off x="23760" y="1431360"/>
        <a:ext cx="5055120" cy="239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38160</xdr:rowOff>
    </xdr:from>
    <xdr:to>
      <xdr:col>15</xdr:col>
      <xdr:colOff>223200</xdr:colOff>
      <xdr:row>20</xdr:row>
      <xdr:rowOff>42480</xdr:rowOff>
    </xdr:to>
    <xdr:graphicFrame>
      <xdr:nvGraphicFramePr>
        <xdr:cNvPr id="8" name="Chart 7"/>
        <xdr:cNvGraphicFramePr/>
      </xdr:nvGraphicFramePr>
      <xdr:xfrm>
        <a:off x="5144760" y="739080"/>
        <a:ext cx="5122800" cy="280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16560</xdr:rowOff>
    </xdr:from>
    <xdr:to>
      <xdr:col>15</xdr:col>
      <xdr:colOff>251640</xdr:colOff>
      <xdr:row>20</xdr:row>
      <xdr:rowOff>32400</xdr:rowOff>
    </xdr:to>
    <xdr:graphicFrame>
      <xdr:nvGraphicFramePr>
        <xdr:cNvPr id="9" name="Chart 8"/>
        <xdr:cNvGraphicFramePr/>
      </xdr:nvGraphicFramePr>
      <xdr:xfrm>
        <a:off x="5144760" y="717480"/>
        <a:ext cx="5151240" cy="282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8125" defaultRowHeight="13.2" zeroHeight="false" outlineLevelRow="0" outlineLevelCol="0"/>
  <cols>
    <col collapsed="false" customWidth="true" hidden="false" outlineLevel="0" max="1" min="1" style="1" width="8.89"/>
    <col collapsed="false" customWidth="true" hidden="false" outlineLevel="0" max="28" min="2" style="1" width="7.67"/>
    <col collapsed="false" customWidth="false" hidden="false" outlineLevel="0" max="996" min="29" style="1" width="11.57"/>
    <col collapsed="false" customWidth="false" hidden="false" outlineLevel="0" max="1014" min="997" style="2" width="11.57"/>
  </cols>
  <sheetData>
    <row r="1" customFormat="false" ht="12.75" hidden="false" customHeight="true" outlineLevel="0" collapsed="false">
      <c r="A1" s="3" t="s">
        <v>0</v>
      </c>
      <c r="B1" s="4" t="s">
        <v>1</v>
      </c>
      <c r="C1" s="4"/>
      <c r="D1" s="4"/>
      <c r="E1" s="4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4</v>
      </c>
      <c r="B2" s="4"/>
      <c r="C2" s="4"/>
      <c r="D2" s="4"/>
      <c r="E2" s="4" t="s">
        <v>5</v>
      </c>
      <c r="F2" s="4"/>
      <c r="G2" s="4"/>
      <c r="H2" s="4"/>
      <c r="I2" s="4"/>
      <c r="J2" s="4"/>
      <c r="K2" s="4" t="s">
        <v>6</v>
      </c>
      <c r="L2" s="4"/>
      <c r="M2" s="4"/>
      <c r="N2" s="4"/>
      <c r="O2" s="4"/>
      <c r="P2" s="4"/>
      <c r="Q2" s="4" t="s">
        <v>5</v>
      </c>
      <c r="R2" s="4"/>
      <c r="S2" s="4"/>
      <c r="T2" s="4"/>
      <c r="U2" s="4"/>
      <c r="V2" s="4"/>
      <c r="W2" s="4" t="s">
        <v>6</v>
      </c>
      <c r="X2" s="4"/>
      <c r="Y2" s="4"/>
      <c r="Z2" s="4"/>
      <c r="AA2" s="4"/>
      <c r="AB2" s="4"/>
    </row>
    <row r="3" customFormat="false" ht="15" hidden="false" customHeight="false" outlineLevel="0" collapsed="false">
      <c r="A3" s="5" t="s">
        <v>4</v>
      </c>
      <c r="B3" s="4"/>
      <c r="C3" s="4"/>
      <c r="D3" s="4"/>
      <c r="E3" s="4" t="s">
        <v>7</v>
      </c>
      <c r="F3" s="4"/>
      <c r="G3" s="4"/>
      <c r="H3" s="4" t="s">
        <v>8</v>
      </c>
      <c r="I3" s="4"/>
      <c r="J3" s="4"/>
      <c r="K3" s="4" t="s">
        <v>7</v>
      </c>
      <c r="L3" s="4"/>
      <c r="M3" s="4"/>
      <c r="N3" s="4" t="s">
        <v>8</v>
      </c>
      <c r="O3" s="4"/>
      <c r="P3" s="4"/>
      <c r="Q3" s="4" t="s">
        <v>7</v>
      </c>
      <c r="R3" s="4"/>
      <c r="S3" s="4"/>
      <c r="T3" s="4" t="s">
        <v>8</v>
      </c>
      <c r="U3" s="4"/>
      <c r="V3" s="4"/>
      <c r="W3" s="4" t="s">
        <v>7</v>
      </c>
      <c r="X3" s="4"/>
      <c r="Y3" s="4"/>
      <c r="Z3" s="4" t="s">
        <v>8</v>
      </c>
      <c r="AA3" s="4"/>
      <c r="AB3" s="4"/>
    </row>
    <row r="4" customFormat="false" ht="26.85" hidden="false" customHeight="false" outlineLevel="0" collapsed="false">
      <c r="A4" s="5" t="s">
        <v>9</v>
      </c>
      <c r="B4" s="3" t="s">
        <v>10</v>
      </c>
      <c r="C4" s="3" t="s">
        <v>7</v>
      </c>
      <c r="D4" s="3" t="s">
        <v>8</v>
      </c>
      <c r="E4" s="3" t="s">
        <v>11</v>
      </c>
      <c r="F4" s="3" t="s">
        <v>12</v>
      </c>
      <c r="G4" s="3" t="s">
        <v>13</v>
      </c>
      <c r="H4" s="3" t="s">
        <v>11</v>
      </c>
      <c r="I4" s="3" t="s">
        <v>12</v>
      </c>
      <c r="J4" s="3" t="s">
        <v>13</v>
      </c>
      <c r="K4" s="3" t="s">
        <v>11</v>
      </c>
      <c r="L4" s="3" t="s">
        <v>12</v>
      </c>
      <c r="M4" s="3" t="s">
        <v>13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14</v>
      </c>
      <c r="U4" s="3" t="s">
        <v>15</v>
      </c>
      <c r="V4" s="3" t="s">
        <v>16</v>
      </c>
      <c r="W4" s="3" t="s">
        <v>14</v>
      </c>
      <c r="X4" s="3" t="s">
        <v>15</v>
      </c>
      <c r="Y4" s="3" t="s">
        <v>16</v>
      </c>
      <c r="Z4" s="3" t="s">
        <v>14</v>
      </c>
      <c r="AA4" s="3" t="s">
        <v>15</v>
      </c>
      <c r="AB4" s="3" t="s">
        <v>16</v>
      </c>
      <c r="ALI4" s="1"/>
    </row>
    <row r="5" customFormat="false" ht="15" hidden="false" customHeight="false" outlineLevel="0" collapsed="false">
      <c r="A5" s="3" t="s">
        <v>17</v>
      </c>
      <c r="B5" s="3" t="n">
        <f aca="false">SUM(C5:D5)</f>
        <v>4272</v>
      </c>
      <c r="C5" s="3" t="n">
        <v>832</v>
      </c>
      <c r="D5" s="3" t="n">
        <v>3440</v>
      </c>
      <c r="E5" s="6" t="n">
        <v>8.7</v>
      </c>
      <c r="F5" s="6" t="n">
        <v>30.6</v>
      </c>
      <c r="G5" s="6" t="n">
        <v>50.6</v>
      </c>
      <c r="H5" s="6" t="n">
        <v>8</v>
      </c>
      <c r="I5" s="6" t="n">
        <v>33.8</v>
      </c>
      <c r="J5" s="6" t="n">
        <v>50</v>
      </c>
      <c r="K5" s="6" t="n">
        <v>9.6</v>
      </c>
      <c r="L5" s="6" t="n">
        <v>29.1</v>
      </c>
      <c r="M5" s="6" t="n">
        <v>50.7</v>
      </c>
      <c r="N5" s="6" t="n">
        <v>8.3</v>
      </c>
      <c r="O5" s="6" t="n">
        <v>33.7</v>
      </c>
      <c r="P5" s="6" t="n">
        <v>50.7</v>
      </c>
      <c r="Q5" s="6" t="n">
        <v>1.3</v>
      </c>
      <c r="R5" s="6" t="n">
        <v>1.2</v>
      </c>
      <c r="S5" s="6" t="n">
        <v>7.6</v>
      </c>
      <c r="T5" s="6" t="n">
        <v>0.7</v>
      </c>
      <c r="U5" s="6" t="n">
        <v>1</v>
      </c>
      <c r="V5" s="6" t="n">
        <v>6.5</v>
      </c>
      <c r="W5" s="6" t="n">
        <v>0.8</v>
      </c>
      <c r="X5" s="6" t="n">
        <v>0.7</v>
      </c>
      <c r="Y5" s="6" t="n">
        <v>9</v>
      </c>
      <c r="Z5" s="6" t="n">
        <v>0.6</v>
      </c>
      <c r="AA5" s="6" t="n">
        <v>0.9</v>
      </c>
      <c r="AB5" s="6" t="n">
        <v>5.9</v>
      </c>
      <c r="ALI5" s="1"/>
    </row>
    <row r="6" customFormat="false" ht="15" hidden="false" customHeight="false" outlineLevel="0" collapsed="false">
      <c r="A6" s="3" t="s">
        <v>18</v>
      </c>
      <c r="B6" s="3" t="n">
        <f aca="false">SUM(C6:D6)</f>
        <v>2931</v>
      </c>
      <c r="C6" s="3" t="n">
        <v>380</v>
      </c>
      <c r="D6" s="3" t="n">
        <v>2551</v>
      </c>
      <c r="E6" s="6" t="n">
        <v>15</v>
      </c>
      <c r="F6" s="6" t="n">
        <v>28.2</v>
      </c>
      <c r="G6" s="6" t="n">
        <v>47.4</v>
      </c>
      <c r="H6" s="6" t="n">
        <v>13.1</v>
      </c>
      <c r="I6" s="6" t="n">
        <v>25.6</v>
      </c>
      <c r="J6" s="6" t="n">
        <v>53.7</v>
      </c>
      <c r="K6" s="6" t="n">
        <v>14.7</v>
      </c>
      <c r="L6" s="6" t="n">
        <v>31.8</v>
      </c>
      <c r="M6" s="6" t="n">
        <v>45.3</v>
      </c>
      <c r="N6" s="6" t="n">
        <v>12</v>
      </c>
      <c r="O6" s="6" t="n">
        <v>26.1</v>
      </c>
      <c r="P6" s="6" t="n">
        <v>54.4</v>
      </c>
      <c r="Q6" s="6" t="n">
        <v>0.3</v>
      </c>
      <c r="R6" s="6" t="n">
        <v>1.3</v>
      </c>
      <c r="S6" s="6" t="n">
        <v>7.9</v>
      </c>
      <c r="T6" s="6" t="n">
        <v>0.6</v>
      </c>
      <c r="U6" s="6" t="n">
        <v>0.2</v>
      </c>
      <c r="V6" s="6" t="n">
        <v>6.9</v>
      </c>
      <c r="W6" s="6" t="n">
        <v>0.3</v>
      </c>
      <c r="X6" s="6" t="n">
        <v>0.8</v>
      </c>
      <c r="Y6" s="6" t="n">
        <v>7.1</v>
      </c>
      <c r="Z6" s="6" t="n">
        <v>0.4</v>
      </c>
      <c r="AA6" s="6" t="n">
        <v>0.4</v>
      </c>
      <c r="AB6" s="6" t="n">
        <v>6.7</v>
      </c>
      <c r="ALI6" s="1"/>
    </row>
    <row r="7" customFormat="false" ht="15" hidden="false" customHeight="false" outlineLevel="0" collapsed="false">
      <c r="A7" s="3" t="s">
        <v>19</v>
      </c>
      <c r="B7" s="3" t="n">
        <f aca="false">SUM(C7:D7)</f>
        <v>3997</v>
      </c>
      <c r="C7" s="3" t="n">
        <v>354</v>
      </c>
      <c r="D7" s="3" t="n">
        <v>3643</v>
      </c>
      <c r="E7" s="6" t="n">
        <v>19.2</v>
      </c>
      <c r="F7" s="6" t="n">
        <v>25.7</v>
      </c>
      <c r="G7" s="6" t="n">
        <v>50.6</v>
      </c>
      <c r="H7" s="6" t="n">
        <v>14.4</v>
      </c>
      <c r="I7" s="6" t="n">
        <v>30.6</v>
      </c>
      <c r="J7" s="6" t="n">
        <v>49.4</v>
      </c>
      <c r="K7" s="6" t="n">
        <v>17.2</v>
      </c>
      <c r="L7" s="6" t="n">
        <v>26.6</v>
      </c>
      <c r="M7" s="6" t="n">
        <v>49.7</v>
      </c>
      <c r="N7" s="6" t="n">
        <v>13.7</v>
      </c>
      <c r="O7" s="6" t="n">
        <v>30.8</v>
      </c>
      <c r="P7" s="6" t="n">
        <v>48.9</v>
      </c>
      <c r="Q7" s="6" t="n">
        <v>0</v>
      </c>
      <c r="R7" s="6" t="n">
        <v>0.3</v>
      </c>
      <c r="S7" s="6" t="n">
        <v>4.2</v>
      </c>
      <c r="T7" s="6" t="n">
        <v>0.6</v>
      </c>
      <c r="U7" s="6" t="n">
        <v>0.3</v>
      </c>
      <c r="V7" s="6" t="n">
        <v>4.6</v>
      </c>
      <c r="W7" s="6" t="n">
        <v>0.6</v>
      </c>
      <c r="X7" s="6" t="n">
        <v>0</v>
      </c>
      <c r="Y7" s="6" t="n">
        <v>5.9</v>
      </c>
      <c r="Z7" s="6" t="n">
        <v>0.5</v>
      </c>
      <c r="AA7" s="6" t="n">
        <v>0.4</v>
      </c>
      <c r="AB7" s="6" t="n">
        <v>5.7</v>
      </c>
      <c r="ALI7" s="1"/>
    </row>
    <row r="8" customFormat="false" ht="15" hidden="false" customHeight="false" outlineLevel="0" collapsed="false">
      <c r="A8" s="3" t="s">
        <v>20</v>
      </c>
      <c r="B8" s="3" t="n">
        <f aca="false">SUM(C8:D8)</f>
        <v>5133</v>
      </c>
      <c r="C8" s="3" t="n">
        <v>350</v>
      </c>
      <c r="D8" s="3" t="n">
        <v>4783</v>
      </c>
      <c r="E8" s="6" t="n">
        <v>8.9</v>
      </c>
      <c r="F8" s="6" t="n">
        <v>30.3</v>
      </c>
      <c r="G8" s="6" t="n">
        <v>50.3</v>
      </c>
      <c r="H8" s="6" t="n">
        <v>8.3</v>
      </c>
      <c r="I8" s="6" t="n">
        <v>29.7</v>
      </c>
      <c r="J8" s="6" t="n">
        <v>50.6</v>
      </c>
      <c r="K8" s="6" t="n">
        <v>11.4</v>
      </c>
      <c r="L8" s="6" t="n">
        <v>29.4</v>
      </c>
      <c r="M8" s="6" t="n">
        <v>50</v>
      </c>
      <c r="N8" s="6" t="n">
        <v>8.4</v>
      </c>
      <c r="O8" s="6" t="n">
        <v>30.4</v>
      </c>
      <c r="P8" s="6" t="n">
        <v>52.2</v>
      </c>
      <c r="Q8" s="6" t="n">
        <v>2.3</v>
      </c>
      <c r="R8" s="6" t="n">
        <v>1.4</v>
      </c>
      <c r="S8" s="6" t="n">
        <v>6.9</v>
      </c>
      <c r="T8" s="6" t="n">
        <v>1.5</v>
      </c>
      <c r="U8" s="6" t="n">
        <v>0.9</v>
      </c>
      <c r="V8" s="6" t="n">
        <v>9</v>
      </c>
      <c r="W8" s="6" t="n">
        <v>0.3</v>
      </c>
      <c r="X8" s="6" t="n">
        <v>1.1</v>
      </c>
      <c r="Y8" s="6" t="n">
        <v>7.7</v>
      </c>
      <c r="Z8" s="6" t="n">
        <v>1.4</v>
      </c>
      <c r="AA8" s="6" t="n">
        <v>0.7</v>
      </c>
      <c r="AB8" s="6" t="n">
        <v>6.8</v>
      </c>
      <c r="ALI8" s="1"/>
    </row>
    <row r="9" customFormat="false" ht="15" hidden="false" customHeight="false" outlineLevel="0" collapsed="false">
      <c r="A9" s="3" t="s">
        <v>21</v>
      </c>
      <c r="B9" s="3" t="n">
        <f aca="false">SUM(C9:D9)</f>
        <v>2550</v>
      </c>
      <c r="C9" s="3" t="n">
        <v>291</v>
      </c>
      <c r="D9" s="3" t="n">
        <v>2259</v>
      </c>
      <c r="E9" s="6" t="n">
        <v>4.8</v>
      </c>
      <c r="F9" s="6" t="n">
        <v>30.6</v>
      </c>
      <c r="G9" s="6" t="n">
        <v>55</v>
      </c>
      <c r="H9" s="6" t="n">
        <v>6.9</v>
      </c>
      <c r="I9" s="6" t="n">
        <v>29.1</v>
      </c>
      <c r="J9" s="6" t="n">
        <v>55.8</v>
      </c>
      <c r="K9" s="6" t="n">
        <v>8.9</v>
      </c>
      <c r="L9" s="6" t="n">
        <v>31.3</v>
      </c>
      <c r="M9" s="6" t="n">
        <v>54</v>
      </c>
      <c r="N9" s="6" t="n">
        <v>7.1</v>
      </c>
      <c r="O9" s="6" t="n">
        <v>29.9</v>
      </c>
      <c r="P9" s="6" t="n">
        <v>55.5</v>
      </c>
      <c r="Q9" s="6" t="n">
        <v>0.7</v>
      </c>
      <c r="R9" s="6" t="n">
        <v>1</v>
      </c>
      <c r="S9" s="6" t="n">
        <v>7.9</v>
      </c>
      <c r="T9" s="6" t="n">
        <v>0.9</v>
      </c>
      <c r="U9" s="6" t="n">
        <v>0.8</v>
      </c>
      <c r="V9" s="6" t="n">
        <v>6.5</v>
      </c>
      <c r="W9" s="6" t="n">
        <v>0.7</v>
      </c>
      <c r="X9" s="6" t="n">
        <v>0.7</v>
      </c>
      <c r="Y9" s="6" t="n">
        <v>4.5</v>
      </c>
      <c r="Z9" s="6" t="n">
        <v>1.2</v>
      </c>
      <c r="AA9" s="6" t="n">
        <v>0.7</v>
      </c>
      <c r="AB9" s="6" t="n">
        <v>5.6</v>
      </c>
      <c r="ALI9" s="1"/>
    </row>
    <row r="10" customFormat="false" ht="15" hidden="false" customHeight="false" outlineLevel="0" collapsed="false">
      <c r="A10" s="3" t="s">
        <v>22</v>
      </c>
      <c r="B10" s="3" t="n">
        <f aca="false">SUM(C10:D10)</f>
        <v>1679</v>
      </c>
      <c r="C10" s="3" t="n">
        <v>243</v>
      </c>
      <c r="D10" s="3" t="n">
        <v>1436</v>
      </c>
      <c r="E10" s="6" t="n">
        <v>16.5</v>
      </c>
      <c r="F10" s="6" t="n">
        <v>32.1</v>
      </c>
      <c r="G10" s="6" t="n">
        <v>49</v>
      </c>
      <c r="H10" s="6" t="n">
        <v>11.1</v>
      </c>
      <c r="I10" s="6" t="n">
        <v>31.1</v>
      </c>
      <c r="J10" s="6" t="n">
        <v>55.4</v>
      </c>
      <c r="K10" s="6" t="n">
        <v>19.3</v>
      </c>
      <c r="L10" s="6" t="n">
        <v>30.9</v>
      </c>
      <c r="M10" s="6" t="n">
        <v>46.9</v>
      </c>
      <c r="N10" s="6" t="n">
        <v>10.7</v>
      </c>
      <c r="O10" s="6" t="n">
        <v>30.4</v>
      </c>
      <c r="P10" s="6" t="n">
        <v>55.3</v>
      </c>
      <c r="Q10" s="6" t="n">
        <v>0.4</v>
      </c>
      <c r="R10" s="6" t="n">
        <v>0</v>
      </c>
      <c r="S10" s="6" t="n">
        <v>2.1</v>
      </c>
      <c r="T10" s="6" t="n">
        <v>0.3</v>
      </c>
      <c r="U10" s="6" t="n">
        <v>0.4</v>
      </c>
      <c r="V10" s="6" t="n">
        <v>1.6</v>
      </c>
      <c r="W10" s="6" t="n">
        <v>1.2</v>
      </c>
      <c r="X10" s="6" t="n">
        <v>0</v>
      </c>
      <c r="Y10" s="6" t="n">
        <v>1.6</v>
      </c>
      <c r="Z10" s="6" t="n">
        <v>0.6</v>
      </c>
      <c r="AA10" s="6" t="n">
        <v>0.1</v>
      </c>
      <c r="AB10" s="6" t="n">
        <v>3</v>
      </c>
      <c r="ALI10" s="1"/>
    </row>
    <row r="11" customFormat="false" ht="15" hidden="false" customHeight="false" outlineLevel="0" collapsed="false">
      <c r="A11" s="3" t="s">
        <v>23</v>
      </c>
      <c r="B11" s="3" t="n">
        <f aca="false">SUM(C11:D11)</f>
        <v>3952</v>
      </c>
      <c r="C11" s="3" t="n">
        <v>283</v>
      </c>
      <c r="D11" s="3" t="n">
        <v>3669</v>
      </c>
      <c r="E11" s="6" t="n">
        <v>12.4</v>
      </c>
      <c r="F11" s="6" t="n">
        <v>11</v>
      </c>
      <c r="G11" s="6" t="n">
        <v>71.4</v>
      </c>
      <c r="H11" s="6" t="n">
        <v>13.6</v>
      </c>
      <c r="I11" s="6" t="n">
        <v>8.1</v>
      </c>
      <c r="J11" s="6" t="n">
        <v>76.2</v>
      </c>
      <c r="K11" s="6" t="n">
        <v>15.2</v>
      </c>
      <c r="L11" s="6" t="n">
        <v>9.9</v>
      </c>
      <c r="M11" s="6" t="n">
        <v>71</v>
      </c>
      <c r="N11" s="6" t="n">
        <v>13.1</v>
      </c>
      <c r="O11" s="6" t="n">
        <v>8.4</v>
      </c>
      <c r="P11" s="6" t="n">
        <v>76.3</v>
      </c>
      <c r="Q11" s="6" t="n">
        <v>1.4</v>
      </c>
      <c r="R11" s="6" t="n">
        <v>0.4</v>
      </c>
      <c r="S11" s="6" t="n">
        <v>3.5</v>
      </c>
      <c r="T11" s="6" t="n">
        <v>0.6</v>
      </c>
      <c r="U11" s="6" t="n">
        <v>0.4</v>
      </c>
      <c r="V11" s="6" t="n">
        <v>1.1</v>
      </c>
      <c r="W11" s="6" t="n">
        <v>2.1</v>
      </c>
      <c r="X11" s="6" t="n">
        <v>0</v>
      </c>
      <c r="Y11" s="6" t="n">
        <v>1.8</v>
      </c>
      <c r="Z11" s="6" t="n">
        <v>0.7</v>
      </c>
      <c r="AA11" s="6" t="n">
        <v>0.4</v>
      </c>
      <c r="AB11" s="6" t="n">
        <v>1.2</v>
      </c>
      <c r="ALI11" s="1"/>
    </row>
    <row r="12" customFormat="false" ht="15" hidden="false" customHeight="false" outlineLevel="0" collapsed="false">
      <c r="A12" s="3" t="s">
        <v>24</v>
      </c>
      <c r="B12" s="3" t="n">
        <f aca="false">SUM(C12:D12)</f>
        <v>6497</v>
      </c>
      <c r="C12" s="3" t="n">
        <v>357</v>
      </c>
      <c r="D12" s="3" t="n">
        <v>6140</v>
      </c>
      <c r="E12" s="6" t="n">
        <v>1.7</v>
      </c>
      <c r="F12" s="6" t="n">
        <v>29.7</v>
      </c>
      <c r="G12" s="6" t="n">
        <v>58.8</v>
      </c>
      <c r="H12" s="6" t="n">
        <v>1.4</v>
      </c>
      <c r="I12" s="6" t="n">
        <v>27.2</v>
      </c>
      <c r="J12" s="6" t="n">
        <v>61.6</v>
      </c>
      <c r="K12" s="6" t="n">
        <v>2</v>
      </c>
      <c r="L12" s="6" t="n">
        <v>24.6</v>
      </c>
      <c r="M12" s="6" t="n">
        <v>63.6</v>
      </c>
      <c r="N12" s="6" t="n">
        <v>1.1</v>
      </c>
      <c r="O12" s="6" t="n">
        <v>27</v>
      </c>
      <c r="P12" s="6" t="n">
        <v>62.3</v>
      </c>
      <c r="Q12" s="6" t="n">
        <v>0.6</v>
      </c>
      <c r="R12" s="6" t="n">
        <v>0</v>
      </c>
      <c r="S12" s="6" t="n">
        <v>9.2</v>
      </c>
      <c r="T12" s="6" t="n">
        <v>0.2</v>
      </c>
      <c r="U12" s="6" t="n">
        <v>0.2</v>
      </c>
      <c r="V12" s="6" t="n">
        <v>9.4</v>
      </c>
      <c r="W12" s="6" t="n">
        <v>0.8</v>
      </c>
      <c r="X12" s="6" t="n">
        <v>0</v>
      </c>
      <c r="Y12" s="6" t="n">
        <v>9</v>
      </c>
      <c r="Z12" s="6" t="n">
        <v>0.2</v>
      </c>
      <c r="AA12" s="6" t="n">
        <v>0.2</v>
      </c>
      <c r="AB12" s="6" t="n">
        <v>9.1</v>
      </c>
      <c r="ALI12" s="1"/>
    </row>
    <row r="13" customFormat="false" ht="15" hidden="false" customHeight="false" outlineLevel="0" collapsed="false">
      <c r="A13" s="3" t="s">
        <v>25</v>
      </c>
      <c r="B13" s="3" t="n">
        <f aca="false">SUM(C13:D13)</f>
        <v>4590</v>
      </c>
      <c r="C13" s="3" t="n">
        <v>666</v>
      </c>
      <c r="D13" s="3" t="n">
        <v>3924</v>
      </c>
      <c r="E13" s="6" t="n">
        <v>7.7</v>
      </c>
      <c r="F13" s="6" t="n">
        <v>33.9</v>
      </c>
      <c r="G13" s="6" t="n">
        <v>49.1</v>
      </c>
      <c r="H13" s="6" t="n">
        <v>6.2</v>
      </c>
      <c r="I13" s="6" t="n">
        <v>30.3</v>
      </c>
      <c r="J13" s="6" t="n">
        <v>53.9</v>
      </c>
      <c r="K13" s="6" t="n">
        <v>9</v>
      </c>
      <c r="L13" s="6" t="n">
        <v>32.3</v>
      </c>
      <c r="M13" s="6" t="n">
        <v>50</v>
      </c>
      <c r="N13" s="6" t="n">
        <v>6.6</v>
      </c>
      <c r="O13" s="6" t="n">
        <v>30.1</v>
      </c>
      <c r="P13" s="6" t="n">
        <v>55</v>
      </c>
      <c r="Q13" s="6" t="n">
        <v>0.8</v>
      </c>
      <c r="R13" s="6" t="n">
        <v>0.6</v>
      </c>
      <c r="S13" s="6" t="n">
        <v>8</v>
      </c>
      <c r="T13" s="6" t="n">
        <v>1</v>
      </c>
      <c r="U13" s="6" t="n">
        <v>0.7</v>
      </c>
      <c r="V13" s="6" t="n">
        <v>7.9</v>
      </c>
      <c r="W13" s="6" t="n">
        <v>1.4</v>
      </c>
      <c r="X13" s="6" t="n">
        <v>0.9</v>
      </c>
      <c r="Y13" s="6" t="n">
        <v>6.5</v>
      </c>
      <c r="Z13" s="6" t="n">
        <v>0.7</v>
      </c>
      <c r="AA13" s="6" t="n">
        <v>0.7</v>
      </c>
      <c r="AB13" s="6" t="n">
        <v>6.8</v>
      </c>
      <c r="ALI13" s="1"/>
    </row>
    <row r="14" customFormat="false" ht="15" hidden="false" customHeight="false" outlineLevel="0" collapsed="false">
      <c r="A14" s="3" t="s">
        <v>26</v>
      </c>
      <c r="B14" s="3" t="n">
        <f aca="false">SUM(C14:D14)</f>
        <v>1287</v>
      </c>
      <c r="C14" s="3" t="n">
        <v>120</v>
      </c>
      <c r="D14" s="3" t="n">
        <v>1167</v>
      </c>
      <c r="E14" s="6" t="n">
        <v>7.5</v>
      </c>
      <c r="F14" s="6" t="n">
        <v>18.3</v>
      </c>
      <c r="G14" s="6" t="n">
        <v>69.2</v>
      </c>
      <c r="H14" s="6" t="n">
        <v>8.2</v>
      </c>
      <c r="I14" s="6" t="n">
        <v>24.7</v>
      </c>
      <c r="J14" s="6" t="n">
        <v>61</v>
      </c>
      <c r="K14" s="6" t="n">
        <v>7.5</v>
      </c>
      <c r="L14" s="6" t="n">
        <v>16.7</v>
      </c>
      <c r="M14" s="6" t="n">
        <v>68.3</v>
      </c>
      <c r="N14" s="6" t="n">
        <v>8.1</v>
      </c>
      <c r="O14" s="6" t="n">
        <v>26.1</v>
      </c>
      <c r="P14" s="6" t="n">
        <v>59.2</v>
      </c>
      <c r="Q14" s="6" t="n">
        <v>0.8</v>
      </c>
      <c r="R14" s="6" t="n">
        <v>0</v>
      </c>
      <c r="S14" s="6" t="n">
        <v>4.2</v>
      </c>
      <c r="T14" s="6" t="n">
        <v>0.3</v>
      </c>
      <c r="U14" s="6" t="n">
        <v>0.3</v>
      </c>
      <c r="V14" s="6" t="n">
        <v>5.6</v>
      </c>
      <c r="W14" s="6" t="n">
        <v>0</v>
      </c>
      <c r="X14" s="6" t="n">
        <v>0</v>
      </c>
      <c r="Y14" s="6" t="n">
        <v>7.5</v>
      </c>
      <c r="Z14" s="6" t="n">
        <v>0.4</v>
      </c>
      <c r="AA14" s="6" t="n">
        <v>0.4</v>
      </c>
      <c r="AB14" s="6" t="n">
        <v>5.7</v>
      </c>
      <c r="ALI14" s="1"/>
    </row>
    <row r="15" customFormat="false" ht="15" hidden="false" customHeight="false" outlineLevel="0" collapsed="false">
      <c r="A15" s="3" t="s">
        <v>27</v>
      </c>
      <c r="B15" s="3" t="n">
        <f aca="false">SUM(C15:D15)</f>
        <v>2908</v>
      </c>
      <c r="C15" s="3" t="n">
        <v>285</v>
      </c>
      <c r="D15" s="3" t="n">
        <v>2623</v>
      </c>
      <c r="E15" s="6" t="n">
        <v>13.3</v>
      </c>
      <c r="F15" s="6" t="n">
        <v>33</v>
      </c>
      <c r="G15" s="6" t="n">
        <v>50.2</v>
      </c>
      <c r="H15" s="6" t="n">
        <v>9.8</v>
      </c>
      <c r="I15" s="6" t="n">
        <v>32.9</v>
      </c>
      <c r="J15" s="6" t="n">
        <v>54.4</v>
      </c>
      <c r="K15" s="6" t="n">
        <v>13.3</v>
      </c>
      <c r="L15" s="6" t="n">
        <v>29.1</v>
      </c>
      <c r="M15" s="6" t="n">
        <v>55.1</v>
      </c>
      <c r="N15" s="6" t="n">
        <v>10.5</v>
      </c>
      <c r="O15" s="6" t="n">
        <v>32.2</v>
      </c>
      <c r="P15" s="6" t="n">
        <v>53.9</v>
      </c>
      <c r="Q15" s="6" t="n">
        <v>1.4</v>
      </c>
      <c r="R15" s="6" t="n">
        <v>0</v>
      </c>
      <c r="S15" s="6" t="n">
        <v>2.1</v>
      </c>
      <c r="T15" s="6" t="n">
        <v>0.1</v>
      </c>
      <c r="U15" s="6" t="n">
        <v>0.2</v>
      </c>
      <c r="V15" s="6" t="n">
        <v>2.6</v>
      </c>
      <c r="W15" s="6" t="n">
        <v>0.4</v>
      </c>
      <c r="X15" s="6" t="n">
        <v>0.7</v>
      </c>
      <c r="Y15" s="6" t="n">
        <v>1.4</v>
      </c>
      <c r="Z15" s="6" t="n">
        <v>0.3</v>
      </c>
      <c r="AA15" s="6" t="n">
        <v>0.2</v>
      </c>
      <c r="AB15" s="6" t="n">
        <v>2.9</v>
      </c>
      <c r="ALI15" s="1"/>
    </row>
    <row r="16" customFormat="false" ht="15" hidden="false" customHeight="false" outlineLevel="0" collapsed="false">
      <c r="A16" s="3" t="s">
        <v>28</v>
      </c>
      <c r="B16" s="3" t="n">
        <f aca="false">SUM(C16:D16)</f>
        <v>3355</v>
      </c>
      <c r="C16" s="3" t="n">
        <v>307</v>
      </c>
      <c r="D16" s="3" t="n">
        <v>3048</v>
      </c>
      <c r="E16" s="6" t="n">
        <v>15.6</v>
      </c>
      <c r="F16" s="6" t="n">
        <v>0</v>
      </c>
      <c r="G16" s="6" t="n">
        <v>15.3</v>
      </c>
      <c r="H16" s="6" t="n">
        <v>16.4</v>
      </c>
      <c r="I16" s="6" t="n">
        <v>0</v>
      </c>
      <c r="J16" s="6" t="n">
        <v>14.5</v>
      </c>
      <c r="K16" s="6" t="n">
        <v>15</v>
      </c>
      <c r="L16" s="6" t="n">
        <v>0</v>
      </c>
      <c r="M16" s="6" t="n">
        <v>17.9</v>
      </c>
      <c r="N16" s="6" t="n">
        <v>16.9</v>
      </c>
      <c r="O16" s="6" t="n">
        <v>0</v>
      </c>
      <c r="P16" s="6" t="n">
        <v>14.1</v>
      </c>
      <c r="Q16" s="6" t="n">
        <v>69.1</v>
      </c>
      <c r="R16" s="6" t="n">
        <v>0</v>
      </c>
      <c r="S16" s="6" t="n">
        <v>0</v>
      </c>
      <c r="T16" s="6" t="n">
        <v>69.1</v>
      </c>
      <c r="U16" s="6" t="n">
        <v>0</v>
      </c>
      <c r="V16" s="6" t="n">
        <v>0</v>
      </c>
      <c r="W16" s="6" t="n">
        <v>67.1</v>
      </c>
      <c r="X16" s="6" t="n">
        <v>0</v>
      </c>
      <c r="Y16" s="6" t="n">
        <v>0</v>
      </c>
      <c r="Z16" s="6" t="n">
        <v>68.9</v>
      </c>
      <c r="AA16" s="6" t="n">
        <v>0</v>
      </c>
      <c r="AB16" s="6" t="n">
        <v>0.1</v>
      </c>
      <c r="ALI16" s="1"/>
    </row>
    <row r="17" customFormat="false" ht="15" hidden="false" customHeight="false" outlineLevel="0" collapsed="false">
      <c r="A17" s="3" t="s">
        <v>29</v>
      </c>
      <c r="B17" s="3" t="n">
        <f aca="false">SUM(C17:D17)</f>
        <v>847</v>
      </c>
      <c r="C17" s="3" t="n">
        <v>67</v>
      </c>
      <c r="D17" s="3" t="n">
        <v>780</v>
      </c>
      <c r="E17" s="6" t="n">
        <v>20.9</v>
      </c>
      <c r="F17" s="6" t="n">
        <v>31.3</v>
      </c>
      <c r="G17" s="6" t="n">
        <v>44.8</v>
      </c>
      <c r="H17" s="6" t="n">
        <v>14.1</v>
      </c>
      <c r="I17" s="6" t="n">
        <v>36.9</v>
      </c>
      <c r="J17" s="6" t="n">
        <v>45.3</v>
      </c>
      <c r="K17" s="6" t="n">
        <v>20.9</v>
      </c>
      <c r="L17" s="6" t="n">
        <v>29.9</v>
      </c>
      <c r="M17" s="6" t="n">
        <v>46.3</v>
      </c>
      <c r="N17" s="6" t="n">
        <v>13.6</v>
      </c>
      <c r="O17" s="6" t="n">
        <v>36.8</v>
      </c>
      <c r="P17" s="6" t="n">
        <v>45.8</v>
      </c>
      <c r="Q17" s="6" t="n">
        <v>0</v>
      </c>
      <c r="R17" s="6" t="n">
        <v>1.5</v>
      </c>
      <c r="S17" s="6" t="n">
        <v>1.5</v>
      </c>
      <c r="T17" s="6" t="n">
        <v>0.5</v>
      </c>
      <c r="U17" s="6" t="n">
        <v>0.3</v>
      </c>
      <c r="V17" s="6" t="n">
        <v>2.9</v>
      </c>
      <c r="W17" s="6" t="n">
        <v>0</v>
      </c>
      <c r="X17" s="6" t="n">
        <v>0</v>
      </c>
      <c r="Y17" s="6" t="n">
        <v>3</v>
      </c>
      <c r="Z17" s="6" t="n">
        <v>0.4</v>
      </c>
      <c r="AA17" s="6" t="n">
        <v>0.8</v>
      </c>
      <c r="AB17" s="6" t="n">
        <v>2.7</v>
      </c>
      <c r="ALI17" s="1"/>
    </row>
    <row r="18" customFormat="false" ht="15" hidden="false" customHeight="false" outlineLevel="0" collapsed="false">
      <c r="A18" s="3" t="s">
        <v>30</v>
      </c>
      <c r="B18" s="3" t="n">
        <f aca="false">SUM(C18:D18)</f>
        <v>2633</v>
      </c>
      <c r="C18" s="3" t="n">
        <v>329</v>
      </c>
      <c r="D18" s="3" t="n">
        <v>2304</v>
      </c>
      <c r="E18" s="6" t="n">
        <v>12.2</v>
      </c>
      <c r="F18" s="6" t="n">
        <v>34.7</v>
      </c>
      <c r="G18" s="6" t="n">
        <v>51.1</v>
      </c>
      <c r="H18" s="6" t="n">
        <v>9.9</v>
      </c>
      <c r="I18" s="6" t="n">
        <v>37.5</v>
      </c>
      <c r="J18" s="6" t="n">
        <v>49.7</v>
      </c>
      <c r="K18" s="6" t="n">
        <v>11.2</v>
      </c>
      <c r="L18" s="6" t="n">
        <v>35.3</v>
      </c>
      <c r="M18" s="6" t="n">
        <v>48.9</v>
      </c>
      <c r="N18" s="6" t="n">
        <v>10.1</v>
      </c>
      <c r="O18" s="6" t="n">
        <v>37.6</v>
      </c>
      <c r="P18" s="6" t="n">
        <v>49.1</v>
      </c>
      <c r="Q18" s="6" t="n">
        <v>0.3</v>
      </c>
      <c r="R18" s="6" t="n">
        <v>0.3</v>
      </c>
      <c r="S18" s="6" t="n">
        <v>1.5</v>
      </c>
      <c r="T18" s="6" t="n">
        <v>0.1</v>
      </c>
      <c r="U18" s="6" t="n">
        <v>0.2</v>
      </c>
      <c r="V18" s="6" t="n">
        <v>2.5</v>
      </c>
      <c r="W18" s="6" t="n">
        <v>0.6</v>
      </c>
      <c r="X18" s="6" t="n">
        <v>0</v>
      </c>
      <c r="Y18" s="6" t="n">
        <v>4</v>
      </c>
      <c r="Z18" s="6" t="n">
        <v>0.2</v>
      </c>
      <c r="AA18" s="6" t="n">
        <v>0.1</v>
      </c>
      <c r="AB18" s="6" t="n">
        <v>2.8</v>
      </c>
      <c r="ALI18" s="1"/>
    </row>
    <row r="19" customFormat="false" ht="15" hidden="false" customHeight="false" outlineLevel="0" collapsed="false">
      <c r="A19" s="3" t="s">
        <v>31</v>
      </c>
      <c r="B19" s="3" t="n">
        <f aca="false">SUM(C19:D19)</f>
        <v>856</v>
      </c>
      <c r="C19" s="3" t="n">
        <v>69</v>
      </c>
      <c r="D19" s="3" t="n">
        <v>787</v>
      </c>
      <c r="E19" s="6" t="n">
        <v>36.2</v>
      </c>
      <c r="F19" s="6" t="n">
        <v>29</v>
      </c>
      <c r="G19" s="6" t="n">
        <v>34.8</v>
      </c>
      <c r="H19" s="6" t="n">
        <v>20.6</v>
      </c>
      <c r="I19" s="6" t="n">
        <v>24.9</v>
      </c>
      <c r="J19" s="6" t="n">
        <v>51</v>
      </c>
      <c r="K19" s="6" t="n">
        <v>27.5</v>
      </c>
      <c r="L19" s="6" t="n">
        <v>31.9</v>
      </c>
      <c r="M19" s="6" t="n">
        <v>31.9</v>
      </c>
      <c r="N19" s="6" t="n">
        <v>19.6</v>
      </c>
      <c r="O19" s="6" t="n">
        <v>26</v>
      </c>
      <c r="P19" s="6" t="n">
        <v>47.5</v>
      </c>
      <c r="Q19" s="6" t="n">
        <v>0</v>
      </c>
      <c r="R19" s="6" t="n">
        <v>0</v>
      </c>
      <c r="S19" s="6" t="n">
        <v>0</v>
      </c>
      <c r="T19" s="6" t="n">
        <v>0.5</v>
      </c>
      <c r="U19" s="6" t="n">
        <v>0.9</v>
      </c>
      <c r="V19" s="6" t="n">
        <v>2.2</v>
      </c>
      <c r="W19" s="6" t="n">
        <v>2.9</v>
      </c>
      <c r="X19" s="6" t="n">
        <v>1.4</v>
      </c>
      <c r="Y19" s="6" t="n">
        <v>4.3</v>
      </c>
      <c r="Z19" s="6" t="n">
        <v>0.6</v>
      </c>
      <c r="AA19" s="6" t="n">
        <v>1.4</v>
      </c>
      <c r="AB19" s="6" t="n">
        <v>4.8</v>
      </c>
      <c r="ALI19" s="1"/>
    </row>
    <row r="20" customFormat="false" ht="15" hidden="false" customHeight="false" outlineLevel="0" collapsed="false">
      <c r="A20" s="3" t="s">
        <v>32</v>
      </c>
      <c r="B20" s="3" t="n">
        <f aca="false">SUM(C20:D20)</f>
        <v>3855</v>
      </c>
      <c r="C20" s="3" t="n">
        <v>466</v>
      </c>
      <c r="D20" s="3" t="n">
        <v>3389</v>
      </c>
      <c r="E20" s="6" t="n">
        <v>45.3</v>
      </c>
      <c r="F20" s="6" t="n">
        <v>23</v>
      </c>
      <c r="G20" s="6" t="n">
        <v>26.4</v>
      </c>
      <c r="H20" s="6" t="n">
        <v>41.5</v>
      </c>
      <c r="I20" s="6" t="n">
        <v>26.5</v>
      </c>
      <c r="J20" s="6" t="n">
        <v>26.5</v>
      </c>
      <c r="K20" s="6" t="n">
        <v>41.4</v>
      </c>
      <c r="L20" s="6" t="n">
        <v>25.3</v>
      </c>
      <c r="M20" s="6" t="n">
        <v>27.5</v>
      </c>
      <c r="N20" s="6" t="n">
        <v>40.7</v>
      </c>
      <c r="O20" s="6" t="n">
        <v>25.6</v>
      </c>
      <c r="P20" s="6" t="n">
        <v>27.9</v>
      </c>
      <c r="Q20" s="6" t="n">
        <v>0.6</v>
      </c>
      <c r="R20" s="6" t="n">
        <v>3</v>
      </c>
      <c r="S20" s="6" t="n">
        <v>1.7</v>
      </c>
      <c r="T20" s="6" t="n">
        <v>1.2</v>
      </c>
      <c r="U20" s="6" t="n">
        <v>2.6</v>
      </c>
      <c r="V20" s="6" t="n">
        <v>1.7</v>
      </c>
      <c r="W20" s="6" t="n">
        <v>0.9</v>
      </c>
      <c r="X20" s="6" t="n">
        <v>3</v>
      </c>
      <c r="Y20" s="6" t="n">
        <v>1.9</v>
      </c>
      <c r="Z20" s="6" t="n">
        <v>1.6</v>
      </c>
      <c r="AA20" s="6" t="n">
        <v>2.6</v>
      </c>
      <c r="AB20" s="6" t="n">
        <v>1.5</v>
      </c>
      <c r="ALI20" s="1"/>
    </row>
    <row r="21" customFormat="false" ht="15" hidden="false" customHeight="false" outlineLevel="0" collapsed="false">
      <c r="A21" s="3" t="s">
        <v>33</v>
      </c>
      <c r="B21" s="3" t="n">
        <f aca="false">SUM(C21:D21)</f>
        <v>3490</v>
      </c>
      <c r="C21" s="3" t="n">
        <v>377</v>
      </c>
      <c r="D21" s="3" t="n">
        <v>3113</v>
      </c>
      <c r="E21" s="6" t="n">
        <v>49.3</v>
      </c>
      <c r="F21" s="6" t="n">
        <v>7.7</v>
      </c>
      <c r="G21" s="6" t="n">
        <v>39.3</v>
      </c>
      <c r="H21" s="6" t="n">
        <v>47.3</v>
      </c>
      <c r="I21" s="6" t="n">
        <v>8.8</v>
      </c>
      <c r="J21" s="6" t="n">
        <v>40.5</v>
      </c>
      <c r="K21" s="6" t="n">
        <v>49.1</v>
      </c>
      <c r="L21" s="6" t="n">
        <v>7.4</v>
      </c>
      <c r="M21" s="6" t="n">
        <v>39.8</v>
      </c>
      <c r="N21" s="6" t="n">
        <v>46</v>
      </c>
      <c r="O21" s="6" t="n">
        <v>8.1</v>
      </c>
      <c r="P21" s="6" t="n">
        <v>42.6</v>
      </c>
      <c r="Q21" s="6" t="n">
        <v>0.8</v>
      </c>
      <c r="R21" s="6" t="n">
        <v>1.3</v>
      </c>
      <c r="S21" s="6" t="n">
        <v>1.6</v>
      </c>
      <c r="T21" s="6" t="n">
        <v>1.3</v>
      </c>
      <c r="U21" s="6" t="n">
        <v>1.3</v>
      </c>
      <c r="V21" s="6" t="n">
        <v>0.8</v>
      </c>
      <c r="W21" s="6" t="n">
        <v>1.3</v>
      </c>
      <c r="X21" s="6" t="n">
        <v>1.6</v>
      </c>
      <c r="Y21" s="6" t="n">
        <v>0.8</v>
      </c>
      <c r="Z21" s="6" t="n">
        <v>1.1</v>
      </c>
      <c r="AA21" s="6" t="n">
        <v>1</v>
      </c>
      <c r="AB21" s="6" t="n">
        <v>1.2</v>
      </c>
      <c r="ALI21" s="1"/>
    </row>
    <row r="22" customFormat="false" ht="15" hidden="false" customHeight="false" outlineLevel="0" collapsed="false">
      <c r="A22" s="3" t="s">
        <v>34</v>
      </c>
      <c r="B22" s="3" t="n">
        <f aca="false">SUM(C22:D22)</f>
        <v>4311</v>
      </c>
      <c r="C22" s="7" t="n">
        <v>291</v>
      </c>
      <c r="D22" s="7" t="n">
        <v>4020</v>
      </c>
      <c r="E22" s="6" t="n">
        <v>11.3</v>
      </c>
      <c r="F22" s="6" t="n">
        <v>68</v>
      </c>
      <c r="G22" s="6" t="n">
        <v>17.5</v>
      </c>
      <c r="H22" s="6" t="n">
        <v>8.4</v>
      </c>
      <c r="I22" s="6" t="n">
        <v>69.1</v>
      </c>
      <c r="J22" s="6" t="n">
        <v>19.1</v>
      </c>
      <c r="K22" s="6" t="n">
        <v>12.7</v>
      </c>
      <c r="L22" s="6" t="n">
        <v>63.6</v>
      </c>
      <c r="M22" s="6" t="n">
        <v>18.6</v>
      </c>
      <c r="N22" s="6" t="n">
        <v>8.2</v>
      </c>
      <c r="O22" s="6" t="n">
        <v>69.7</v>
      </c>
      <c r="P22" s="6" t="n">
        <v>18.8</v>
      </c>
      <c r="Q22" s="6" t="n">
        <v>1</v>
      </c>
      <c r="R22" s="6" t="n">
        <v>1</v>
      </c>
      <c r="S22" s="6" t="n">
        <v>1</v>
      </c>
      <c r="T22" s="6" t="n">
        <v>1.5</v>
      </c>
      <c r="U22" s="6" t="n">
        <v>1.3</v>
      </c>
      <c r="V22" s="6" t="n">
        <v>0.7</v>
      </c>
      <c r="W22" s="6" t="n">
        <v>1</v>
      </c>
      <c r="X22" s="6" t="n">
        <v>1.4</v>
      </c>
      <c r="Y22" s="6" t="n">
        <v>2.7</v>
      </c>
      <c r="Z22" s="6" t="n">
        <v>1.4</v>
      </c>
      <c r="AA22" s="6" t="n">
        <v>1.3</v>
      </c>
      <c r="AB22" s="6" t="n">
        <v>0.6</v>
      </c>
      <c r="ALI22" s="1"/>
    </row>
    <row r="23" customFormat="false" ht="15" hidden="false" customHeight="false" outlineLevel="0" collapsed="false">
      <c r="A23" s="3" t="s">
        <v>35</v>
      </c>
      <c r="B23" s="7" t="n">
        <f aca="false">SUM(B5:B22)</f>
        <v>59143</v>
      </c>
      <c r="C23" s="7" t="n">
        <f aca="false">SUM(C5:C22)</f>
        <v>6067</v>
      </c>
      <c r="D23" s="7" t="n">
        <f aca="false">SUM(D5:D22)</f>
        <v>53076</v>
      </c>
      <c r="E23" s="6" t="n">
        <f aca="false">AVERAGE(E5:E22)</f>
        <v>17.0277777777778</v>
      </c>
      <c r="F23" s="6" t="n">
        <f aca="false">AVERAGE(F5:F22)</f>
        <v>27.6166666666667</v>
      </c>
      <c r="G23" s="6" t="n">
        <f aca="false">AVERAGE(G5:G22)</f>
        <v>46.1555555555556</v>
      </c>
      <c r="H23" s="6" t="n">
        <f aca="false">AVERAGE(H5:H22)</f>
        <v>14.4</v>
      </c>
      <c r="I23" s="6" t="n">
        <f aca="false">AVERAGE(I5:I22)</f>
        <v>28.1555555555556</v>
      </c>
      <c r="J23" s="6" t="n">
        <f aca="false">AVERAGE(J5:J22)</f>
        <v>48.2555555555556</v>
      </c>
      <c r="K23" s="6" t="n">
        <f aca="false">AVERAGE(K5:K22)</f>
        <v>16.9944444444444</v>
      </c>
      <c r="L23" s="6" t="n">
        <f aca="false">AVERAGE(L5:L22)</f>
        <v>26.95</v>
      </c>
      <c r="M23" s="6" t="n">
        <f aca="false">AVERAGE(M5:M22)</f>
        <v>46.4166666666667</v>
      </c>
      <c r="N23" s="6" t="n">
        <f aca="false">AVERAGE(N5:N22)</f>
        <v>14.15</v>
      </c>
      <c r="O23" s="6" t="n">
        <f aca="false">AVERAGE(O5:O22)</f>
        <v>28.2722222222222</v>
      </c>
      <c r="P23" s="6" t="n">
        <f aca="false">AVERAGE(P5:P22)</f>
        <v>48.3055555555556</v>
      </c>
      <c r="Q23" s="6" t="n">
        <f aca="false">AVERAGE(Q5:Q22)</f>
        <v>4.54444444444444</v>
      </c>
      <c r="R23" s="6" t="n">
        <f aca="false">AVERAGE(R5:R22)</f>
        <v>0.738888888888889</v>
      </c>
      <c r="S23" s="6" t="n">
        <f aca="false">AVERAGE(S5:S22)</f>
        <v>3.93888888888889</v>
      </c>
      <c r="T23" s="6" t="n">
        <f aca="false">AVERAGE(T5:T22)</f>
        <v>4.5</v>
      </c>
      <c r="U23" s="6" t="n">
        <f aca="false">AVERAGE(U5:U22)</f>
        <v>0.666666666666667</v>
      </c>
      <c r="V23" s="6" t="n">
        <f aca="false">AVERAGE(V5:V22)</f>
        <v>4.02777777777778</v>
      </c>
      <c r="W23" s="6" t="n">
        <f aca="false">AVERAGE(W5:W22)</f>
        <v>4.57777777777778</v>
      </c>
      <c r="X23" s="6" t="n">
        <f aca="false">AVERAGE(X5:X22)</f>
        <v>0.683333333333333</v>
      </c>
      <c r="Y23" s="6" t="n">
        <f aca="false">AVERAGE(Y5:Y22)</f>
        <v>4.37222222222222</v>
      </c>
      <c r="Z23" s="6" t="n">
        <f aca="false">AVERAGE(Z5:Z22)</f>
        <v>4.51111111111111</v>
      </c>
      <c r="AA23" s="6" t="n">
        <f aca="false">AVERAGE(AA5:AA22)</f>
        <v>0.683333333333333</v>
      </c>
      <c r="AB23" s="6" t="n">
        <f aca="false">AVERAGE(AB5:AB22)</f>
        <v>4.06111111111111</v>
      </c>
    </row>
    <row r="26" customFormat="false" ht="13.2" hidden="false" customHeight="false" outlineLevel="0" collapsed="false">
      <c r="ALI26" s="1"/>
    </row>
    <row r="27" customFormat="false" ht="13.2" hidden="false" customHeight="false" outlineLevel="0" collapsed="false">
      <c r="ALI27" s="1"/>
    </row>
    <row r="28" customFormat="false" ht="13.2" hidden="false" customHeight="false" outlineLevel="0" collapsed="false">
      <c r="ALI28" s="1"/>
    </row>
    <row r="29" customFormat="false" ht="13.2" hidden="false" customHeight="false" outlineLevel="0" collapsed="false">
      <c r="ALI29" s="1"/>
    </row>
    <row r="30" customFormat="false" ht="13.2" hidden="false" customHeight="false" outlineLevel="0" collapsed="false">
      <c r="ALI30" s="1"/>
    </row>
    <row r="31" customFormat="false" ht="13.2" hidden="false" customHeight="false" outlineLevel="0" collapsed="false">
      <c r="ALI31" s="1"/>
    </row>
    <row r="32" customFormat="false" ht="13.2" hidden="false" customHeight="false" outlineLevel="0" collapsed="false">
      <c r="ALI32" s="1"/>
    </row>
    <row r="33" customFormat="false" ht="13.2" hidden="false" customHeight="false" outlineLevel="0" collapsed="false">
      <c r="ALI33" s="1"/>
    </row>
    <row r="34" customFormat="false" ht="13.2" hidden="false" customHeight="false" outlineLevel="0" collapsed="false">
      <c r="ALI34" s="1"/>
    </row>
    <row r="35" customFormat="false" ht="13.2" hidden="false" customHeight="false" outlineLevel="0" collapsed="false">
      <c r="ALI35" s="1"/>
    </row>
    <row r="36" customFormat="false" ht="13.2" hidden="false" customHeight="false" outlineLevel="0" collapsed="false">
      <c r="ALI36" s="1"/>
    </row>
    <row r="37" customFormat="false" ht="13.2" hidden="false" customHeight="false" outlineLevel="0" collapsed="false">
      <c r="ALI37" s="1"/>
    </row>
    <row r="38" customFormat="false" ht="13.2" hidden="false" customHeight="false" outlineLevel="0" collapsed="false">
      <c r="ALI38" s="1"/>
    </row>
    <row r="39" customFormat="false" ht="13.2" hidden="false" customHeight="false" outlineLevel="0" collapsed="false">
      <c r="ALI39" s="1"/>
    </row>
    <row r="40" customFormat="false" ht="13.2" hidden="false" customHeight="false" outlineLevel="0" collapsed="false">
      <c r="ALI40" s="1"/>
    </row>
    <row r="41" customFormat="false" ht="13.2" hidden="false" customHeight="false" outlineLevel="0" collapsed="false">
      <c r="ALI41" s="1"/>
    </row>
    <row r="42" customFormat="false" ht="13.2" hidden="false" customHeight="false" outlineLevel="0" collapsed="false">
      <c r="ALI42" s="1"/>
    </row>
    <row r="43" customFormat="false" ht="13.2" hidden="false" customHeight="false" outlineLevel="0" collapsed="false">
      <c r="ALI43" s="1"/>
    </row>
    <row r="44" customFormat="false" ht="13.2" hidden="false" customHeight="false" outlineLevel="0" collapsed="false">
      <c r="ALI44" s="1"/>
    </row>
    <row r="45" customFormat="false" ht="13.2" hidden="false" customHeight="false" outlineLevel="0" collapsed="false">
      <c r="ALI45" s="1"/>
    </row>
    <row r="49" customFormat="false" ht="15" hidden="false" customHeight="true" outlineLevel="0" collapsed="false"/>
    <row r="1048576" customFormat="false" ht="12.8" hidden="false" customHeight="false" outlineLevel="0" collapsed="false"/>
  </sheetData>
  <mergeCells count="15">
    <mergeCell ref="B1:D1"/>
    <mergeCell ref="E1:P1"/>
    <mergeCell ref="Q1:AB1"/>
    <mergeCell ref="E2:J2"/>
    <mergeCell ref="K2:P2"/>
    <mergeCell ref="Q2:V2"/>
    <mergeCell ref="W2:AB2"/>
    <mergeCell ref="E3:G3"/>
    <mergeCell ref="H3:J3"/>
    <mergeCell ref="K3:M3"/>
    <mergeCell ref="N3:P3"/>
    <mergeCell ref="Q3:S3"/>
    <mergeCell ref="T3:V3"/>
    <mergeCell ref="W3:Y3"/>
    <mergeCell ref="Z3:AB3"/>
  </mergeCells>
  <conditionalFormatting sqref="E5:AB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A3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Q29" activeCellId="0" sqref="Q29"/>
    </sheetView>
  </sheetViews>
  <sheetFormatPr defaultColWidth="11.58984375" defaultRowHeight="13.2" zeroHeight="false" outlineLevelRow="0" outlineLevelCol="0"/>
  <cols>
    <col collapsed="false" customWidth="false" hidden="false" outlineLevel="0" max="1" min="1" style="8" width="11.57"/>
    <col collapsed="false" customWidth="true" hidden="false" outlineLevel="0" max="9" min="2" style="8" width="7.67"/>
    <col collapsed="false" customWidth="false" hidden="false" outlineLevel="0" max="1014" min="10" style="8" width="11.57"/>
    <col collapsed="false" customWidth="false" hidden="false" outlineLevel="0" max="1015" min="1015" style="9" width="11.57"/>
  </cols>
  <sheetData>
    <row r="1" customFormat="false" ht="13.2" hidden="false" customHeight="false" outlineLevel="0" collapsed="false">
      <c r="A1" s="10" t="s">
        <v>36</v>
      </c>
      <c r="B1" s="11" t="s">
        <v>37</v>
      </c>
      <c r="C1" s="11" t="s">
        <v>14</v>
      </c>
      <c r="D1" s="11" t="s">
        <v>11</v>
      </c>
      <c r="E1" s="11" t="s">
        <v>15</v>
      </c>
      <c r="F1" s="11" t="s">
        <v>12</v>
      </c>
      <c r="G1" s="11" t="s">
        <v>16</v>
      </c>
      <c r="H1" s="11" t="s">
        <v>13</v>
      </c>
      <c r="I1" s="12" t="s">
        <v>10</v>
      </c>
    </row>
    <row r="2" customFormat="false" ht="13.2" hidden="false" customHeight="false" outlineLevel="0" collapsed="false">
      <c r="A2" s="13" t="s">
        <v>17</v>
      </c>
      <c r="B2" s="14" t="s">
        <v>38</v>
      </c>
      <c r="C2" s="15" t="n">
        <v>11</v>
      </c>
      <c r="D2" s="15" t="n">
        <v>72</v>
      </c>
      <c r="E2" s="15" t="n">
        <v>10</v>
      </c>
      <c r="F2" s="15" t="n">
        <v>255</v>
      </c>
      <c r="G2" s="15" t="n">
        <v>63</v>
      </c>
      <c r="H2" s="15" t="n">
        <v>421</v>
      </c>
      <c r="I2" s="16" t="n">
        <f aca="false">SUM(C2:H2)</f>
        <v>832</v>
      </c>
    </row>
    <row r="3" customFormat="false" ht="13.2" hidden="false" customHeight="false" outlineLevel="0" collapsed="false">
      <c r="A3" s="13" t="s">
        <v>17</v>
      </c>
      <c r="B3" s="14" t="s">
        <v>39</v>
      </c>
      <c r="C3" s="15" t="n">
        <v>7</v>
      </c>
      <c r="D3" s="15" t="n">
        <v>80</v>
      </c>
      <c r="E3" s="15" t="n">
        <v>6</v>
      </c>
      <c r="F3" s="15" t="n">
        <v>242</v>
      </c>
      <c r="G3" s="15" t="n">
        <v>75</v>
      </c>
      <c r="H3" s="15" t="n">
        <v>422</v>
      </c>
      <c r="I3" s="16" t="n">
        <f aca="false">SUM(C3:H3)</f>
        <v>832</v>
      </c>
    </row>
    <row r="4" customFormat="false" ht="13.2" hidden="false" customHeight="false" outlineLevel="0" collapsed="false">
      <c r="A4" s="13" t="s">
        <v>21</v>
      </c>
      <c r="B4" s="14" t="s">
        <v>38</v>
      </c>
      <c r="C4" s="15" t="n">
        <v>1</v>
      </c>
      <c r="D4" s="15" t="n">
        <v>57</v>
      </c>
      <c r="E4" s="15" t="n">
        <v>5</v>
      </c>
      <c r="F4" s="15" t="n">
        <v>107</v>
      </c>
      <c r="G4" s="15" t="n">
        <v>30</v>
      </c>
      <c r="H4" s="15" t="n">
        <v>180</v>
      </c>
      <c r="I4" s="16" t="n">
        <f aca="false">SUM(C4:H4)</f>
        <v>380</v>
      </c>
    </row>
    <row r="5" customFormat="false" ht="13.2" hidden="false" customHeight="false" outlineLevel="0" collapsed="false">
      <c r="A5" s="13" t="s">
        <v>21</v>
      </c>
      <c r="B5" s="14" t="s">
        <v>39</v>
      </c>
      <c r="C5" s="15" t="n">
        <v>1</v>
      </c>
      <c r="D5" s="15" t="n">
        <v>56</v>
      </c>
      <c r="E5" s="15" t="n">
        <v>3</v>
      </c>
      <c r="F5" s="15" t="n">
        <v>121</v>
      </c>
      <c r="G5" s="15" t="n">
        <v>27</v>
      </c>
      <c r="H5" s="15" t="n">
        <v>172</v>
      </c>
      <c r="I5" s="16" t="n">
        <f aca="false">SUM(C5:H5)</f>
        <v>380</v>
      </c>
    </row>
    <row r="6" customFormat="false" ht="13.2" hidden="false" customHeight="false" outlineLevel="0" collapsed="false">
      <c r="A6" s="13" t="s">
        <v>20</v>
      </c>
      <c r="B6" s="14" t="s">
        <v>38</v>
      </c>
      <c r="C6" s="15" t="n">
        <v>0</v>
      </c>
      <c r="D6" s="15" t="n">
        <v>68</v>
      </c>
      <c r="E6" s="15" t="n">
        <v>1</v>
      </c>
      <c r="F6" s="15" t="n">
        <v>91</v>
      </c>
      <c r="G6" s="15" t="n">
        <v>15</v>
      </c>
      <c r="H6" s="15" t="n">
        <v>179</v>
      </c>
      <c r="I6" s="16" t="n">
        <f aca="false">SUM(C6:H6)</f>
        <v>354</v>
      </c>
    </row>
    <row r="7" customFormat="false" ht="13.2" hidden="false" customHeight="false" outlineLevel="0" collapsed="false">
      <c r="A7" s="13" t="s">
        <v>20</v>
      </c>
      <c r="B7" s="14" t="s">
        <v>39</v>
      </c>
      <c r="C7" s="15" t="n">
        <v>2</v>
      </c>
      <c r="D7" s="15" t="n">
        <v>61</v>
      </c>
      <c r="E7" s="15" t="n">
        <v>0</v>
      </c>
      <c r="F7" s="15" t="n">
        <v>94</v>
      </c>
      <c r="G7" s="15" t="n">
        <v>21</v>
      </c>
      <c r="H7" s="15" t="n">
        <v>176</v>
      </c>
      <c r="I7" s="16" t="n">
        <f aca="false">SUM(C7:H7)</f>
        <v>354</v>
      </c>
    </row>
    <row r="8" customFormat="false" ht="13.2" hidden="false" customHeight="false" outlineLevel="0" collapsed="false">
      <c r="A8" s="13" t="s">
        <v>31</v>
      </c>
      <c r="B8" s="14" t="s">
        <v>38</v>
      </c>
      <c r="C8" s="15" t="n">
        <v>0</v>
      </c>
      <c r="D8" s="15" t="n">
        <v>25</v>
      </c>
      <c r="E8" s="15" t="n">
        <v>0</v>
      </c>
      <c r="F8" s="15" t="n">
        <v>20</v>
      </c>
      <c r="G8" s="15" t="n">
        <v>0</v>
      </c>
      <c r="H8" s="15" t="n">
        <v>24</v>
      </c>
      <c r="I8" s="16" t="n">
        <f aca="false">SUM(C8:H8)</f>
        <v>69</v>
      </c>
    </row>
    <row r="9" customFormat="false" ht="13.2" hidden="false" customHeight="false" outlineLevel="0" collapsed="false">
      <c r="A9" s="13" t="s">
        <v>31</v>
      </c>
      <c r="B9" s="14" t="s">
        <v>39</v>
      </c>
      <c r="C9" s="15" t="n">
        <v>2</v>
      </c>
      <c r="D9" s="15" t="n">
        <v>19</v>
      </c>
      <c r="E9" s="15" t="n">
        <v>1</v>
      </c>
      <c r="F9" s="15" t="n">
        <v>22</v>
      </c>
      <c r="G9" s="15" t="n">
        <v>3</v>
      </c>
      <c r="H9" s="15" t="n">
        <v>22</v>
      </c>
      <c r="I9" s="16" t="n">
        <f aca="false">SUM(C9:H9)</f>
        <v>69</v>
      </c>
    </row>
    <row r="10" customFormat="false" ht="13.2" hidden="false" customHeight="false" outlineLevel="0" collapsed="false">
      <c r="A10" s="13" t="s">
        <v>19</v>
      </c>
      <c r="B10" s="14" t="s">
        <v>38</v>
      </c>
      <c r="C10" s="15" t="n">
        <v>8</v>
      </c>
      <c r="D10" s="15" t="n">
        <v>31</v>
      </c>
      <c r="E10" s="15" t="n">
        <v>5</v>
      </c>
      <c r="F10" s="15" t="n">
        <v>106</v>
      </c>
      <c r="G10" s="15" t="n">
        <v>24</v>
      </c>
      <c r="H10" s="15" t="n">
        <v>176</v>
      </c>
      <c r="I10" s="16" t="n">
        <f aca="false">SUM(C10:H10)</f>
        <v>350</v>
      </c>
      <c r="AMA10" s="8"/>
    </row>
    <row r="11" customFormat="false" ht="13.2" hidden="false" customHeight="false" outlineLevel="0" collapsed="false">
      <c r="A11" s="13" t="s">
        <v>19</v>
      </c>
      <c r="B11" s="14" t="s">
        <v>39</v>
      </c>
      <c r="C11" s="15" t="n">
        <v>1</v>
      </c>
      <c r="D11" s="15" t="n">
        <v>40</v>
      </c>
      <c r="E11" s="15" t="n">
        <v>4</v>
      </c>
      <c r="F11" s="15" t="n">
        <v>103</v>
      </c>
      <c r="G11" s="15" t="n">
        <v>27</v>
      </c>
      <c r="H11" s="15" t="n">
        <v>175</v>
      </c>
      <c r="I11" s="16" t="n">
        <f aca="false">SUM(C11:H11)</f>
        <v>350</v>
      </c>
    </row>
    <row r="12" customFormat="false" ht="13.2" hidden="false" customHeight="false" outlineLevel="0" collapsed="false">
      <c r="A12" s="13" t="s">
        <v>18</v>
      </c>
      <c r="B12" s="14" t="s">
        <v>38</v>
      </c>
      <c r="C12" s="15" t="n">
        <v>2</v>
      </c>
      <c r="D12" s="15" t="n">
        <v>14</v>
      </c>
      <c r="E12" s="15" t="n">
        <v>3</v>
      </c>
      <c r="F12" s="15" t="n">
        <v>89</v>
      </c>
      <c r="G12" s="15" t="n">
        <v>23</v>
      </c>
      <c r="H12" s="15" t="n">
        <v>160</v>
      </c>
      <c r="I12" s="16" t="n">
        <f aca="false">SUM(C12:H12)</f>
        <v>291</v>
      </c>
    </row>
    <row r="13" customFormat="false" ht="13.2" hidden="false" customHeight="false" outlineLevel="0" collapsed="false">
      <c r="A13" s="13" t="s">
        <v>18</v>
      </c>
      <c r="B13" s="14" t="s">
        <v>39</v>
      </c>
      <c r="C13" s="15" t="n">
        <v>2</v>
      </c>
      <c r="D13" s="15" t="n">
        <v>26</v>
      </c>
      <c r="E13" s="15" t="n">
        <v>2</v>
      </c>
      <c r="F13" s="15" t="n">
        <v>91</v>
      </c>
      <c r="G13" s="15" t="n">
        <v>13</v>
      </c>
      <c r="H13" s="15" t="n">
        <v>157</v>
      </c>
      <c r="I13" s="16" t="n">
        <f aca="false">SUM(C13:H13)</f>
        <v>291</v>
      </c>
      <c r="AMA13" s="8"/>
    </row>
    <row r="14" customFormat="false" ht="13.2" hidden="false" customHeight="false" outlineLevel="0" collapsed="false">
      <c r="A14" s="13" t="s">
        <v>22</v>
      </c>
      <c r="B14" s="14" t="s">
        <v>38</v>
      </c>
      <c r="C14" s="15" t="n">
        <v>1</v>
      </c>
      <c r="D14" s="15" t="n">
        <v>40</v>
      </c>
      <c r="E14" s="15" t="n">
        <v>0</v>
      </c>
      <c r="F14" s="15" t="n">
        <v>78</v>
      </c>
      <c r="G14" s="15" t="n">
        <v>5</v>
      </c>
      <c r="H14" s="15" t="n">
        <v>119</v>
      </c>
      <c r="I14" s="16" t="n">
        <f aca="false">SUM(C14:H14)</f>
        <v>243</v>
      </c>
    </row>
    <row r="15" customFormat="false" ht="13.2" hidden="false" customHeight="false" outlineLevel="0" collapsed="false">
      <c r="A15" s="13" t="s">
        <v>22</v>
      </c>
      <c r="B15" s="14" t="s">
        <v>39</v>
      </c>
      <c r="C15" s="15" t="n">
        <v>3</v>
      </c>
      <c r="D15" s="15" t="n">
        <v>47</v>
      </c>
      <c r="E15" s="15" t="n">
        <v>0</v>
      </c>
      <c r="F15" s="15" t="n">
        <v>75</v>
      </c>
      <c r="G15" s="15" t="n">
        <v>4</v>
      </c>
      <c r="H15" s="15" t="n">
        <v>114</v>
      </c>
      <c r="I15" s="16" t="n">
        <f aca="false">SUM(C15:H15)</f>
        <v>243</v>
      </c>
    </row>
    <row r="16" customFormat="false" ht="13.2" hidden="false" customHeight="false" outlineLevel="0" collapsed="false">
      <c r="A16" s="13" t="s">
        <v>23</v>
      </c>
      <c r="B16" s="14" t="s">
        <v>38</v>
      </c>
      <c r="C16" s="15" t="n">
        <v>4</v>
      </c>
      <c r="D16" s="15" t="n">
        <v>35</v>
      </c>
      <c r="E16" s="15" t="n">
        <v>1</v>
      </c>
      <c r="F16" s="15" t="n">
        <v>31</v>
      </c>
      <c r="G16" s="15" t="n">
        <v>10</v>
      </c>
      <c r="H16" s="15" t="n">
        <v>202</v>
      </c>
      <c r="I16" s="16" t="n">
        <f aca="false">SUM(C16:H16)</f>
        <v>283</v>
      </c>
    </row>
    <row r="17" customFormat="false" ht="13.2" hidden="false" customHeight="false" outlineLevel="0" collapsed="false">
      <c r="A17" s="13" t="s">
        <v>23</v>
      </c>
      <c r="B17" s="14" t="s">
        <v>39</v>
      </c>
      <c r="C17" s="15" t="n">
        <v>6</v>
      </c>
      <c r="D17" s="15" t="n">
        <v>43</v>
      </c>
      <c r="E17" s="15" t="n">
        <v>0</v>
      </c>
      <c r="F17" s="15" t="n">
        <v>28</v>
      </c>
      <c r="G17" s="15" t="n">
        <v>5</v>
      </c>
      <c r="H17" s="15" t="n">
        <v>201</v>
      </c>
      <c r="I17" s="16" t="n">
        <f aca="false">SUM(C17:H17)</f>
        <v>283</v>
      </c>
    </row>
    <row r="18" customFormat="false" ht="13.2" hidden="false" customHeight="false" outlineLevel="0" collapsed="false">
      <c r="A18" s="13" t="s">
        <v>24</v>
      </c>
      <c r="B18" s="14" t="s">
        <v>38</v>
      </c>
      <c r="C18" s="15" t="n">
        <v>2</v>
      </c>
      <c r="D18" s="15" t="n">
        <v>6</v>
      </c>
      <c r="E18" s="15" t="n">
        <v>0</v>
      </c>
      <c r="F18" s="15" t="n">
        <v>106</v>
      </c>
      <c r="G18" s="15" t="n">
        <v>33</v>
      </c>
      <c r="H18" s="15" t="n">
        <v>210</v>
      </c>
      <c r="I18" s="16" t="n">
        <f aca="false">SUM(C18:H18)</f>
        <v>357</v>
      </c>
    </row>
    <row r="19" customFormat="false" ht="13.2" hidden="false" customHeight="false" outlineLevel="0" collapsed="false">
      <c r="A19" s="13" t="s">
        <v>24</v>
      </c>
      <c r="B19" s="14" t="s">
        <v>39</v>
      </c>
      <c r="C19" s="15" t="n">
        <v>3</v>
      </c>
      <c r="D19" s="15" t="n">
        <v>7</v>
      </c>
      <c r="E19" s="15" t="n">
        <v>0</v>
      </c>
      <c r="F19" s="15" t="n">
        <v>88</v>
      </c>
      <c r="G19" s="15" t="n">
        <v>32</v>
      </c>
      <c r="H19" s="15" t="n">
        <v>227</v>
      </c>
      <c r="I19" s="16" t="n">
        <f aca="false">SUM(C19:H19)</f>
        <v>357</v>
      </c>
    </row>
    <row r="20" customFormat="false" ht="13.2" hidden="false" customHeight="false" outlineLevel="0" collapsed="false">
      <c r="A20" s="13" t="s">
        <v>25</v>
      </c>
      <c r="B20" s="14" t="s">
        <v>38</v>
      </c>
      <c r="C20" s="15" t="n">
        <v>5</v>
      </c>
      <c r="D20" s="15" t="n">
        <v>51</v>
      </c>
      <c r="E20" s="15" t="n">
        <v>4</v>
      </c>
      <c r="F20" s="15" t="n">
        <v>226</v>
      </c>
      <c r="G20" s="15" t="n">
        <v>53</v>
      </c>
      <c r="H20" s="15" t="n">
        <v>327</v>
      </c>
      <c r="I20" s="16" t="n">
        <f aca="false">SUM(C20:H20)</f>
        <v>666</v>
      </c>
    </row>
    <row r="21" customFormat="false" ht="13.2" hidden="false" customHeight="false" outlineLevel="0" collapsed="false">
      <c r="A21" s="13" t="s">
        <v>25</v>
      </c>
      <c r="B21" s="14" t="s">
        <v>39</v>
      </c>
      <c r="C21" s="15" t="n">
        <v>9</v>
      </c>
      <c r="D21" s="15" t="n">
        <v>60</v>
      </c>
      <c r="E21" s="15" t="n">
        <v>6</v>
      </c>
      <c r="F21" s="15" t="n">
        <v>215</v>
      </c>
      <c r="G21" s="15" t="n">
        <v>43</v>
      </c>
      <c r="H21" s="15" t="n">
        <v>333</v>
      </c>
      <c r="I21" s="16" t="n">
        <f aca="false">SUM(C21:H21)</f>
        <v>666</v>
      </c>
    </row>
    <row r="22" customFormat="false" ht="13.2" hidden="false" customHeight="false" outlineLevel="0" collapsed="false">
      <c r="A22" s="13" t="s">
        <v>26</v>
      </c>
      <c r="B22" s="14" t="s">
        <v>38</v>
      </c>
      <c r="C22" s="15" t="n">
        <v>1</v>
      </c>
      <c r="D22" s="15" t="n">
        <v>9</v>
      </c>
      <c r="E22" s="15" t="n">
        <v>0</v>
      </c>
      <c r="F22" s="15" t="n">
        <v>22</v>
      </c>
      <c r="G22" s="15" t="n">
        <v>5</v>
      </c>
      <c r="H22" s="15" t="n">
        <v>83</v>
      </c>
      <c r="I22" s="16" t="n">
        <f aca="false">SUM(C22:H22)</f>
        <v>120</v>
      </c>
    </row>
    <row r="23" customFormat="false" ht="13.2" hidden="false" customHeight="false" outlineLevel="0" collapsed="false">
      <c r="A23" s="13" t="s">
        <v>26</v>
      </c>
      <c r="B23" s="14" t="s">
        <v>39</v>
      </c>
      <c r="C23" s="15" t="n">
        <v>0</v>
      </c>
      <c r="D23" s="15" t="n">
        <v>9</v>
      </c>
      <c r="E23" s="15" t="n">
        <v>0</v>
      </c>
      <c r="F23" s="15" t="n">
        <v>20</v>
      </c>
      <c r="G23" s="15" t="n">
        <v>9</v>
      </c>
      <c r="H23" s="15" t="n">
        <v>82</v>
      </c>
      <c r="I23" s="16" t="n">
        <f aca="false">SUM(C23:H23)</f>
        <v>120</v>
      </c>
    </row>
    <row r="24" customFormat="false" ht="13.2" hidden="false" customHeight="false" outlineLevel="0" collapsed="false">
      <c r="A24" s="13" t="s">
        <v>27</v>
      </c>
      <c r="B24" s="14" t="s">
        <v>38</v>
      </c>
      <c r="C24" s="15" t="n">
        <v>4</v>
      </c>
      <c r="D24" s="15" t="n">
        <v>38</v>
      </c>
      <c r="E24" s="15" t="n">
        <v>0</v>
      </c>
      <c r="F24" s="15" t="n">
        <v>94</v>
      </c>
      <c r="G24" s="15" t="n">
        <v>6</v>
      </c>
      <c r="H24" s="15" t="n">
        <v>143</v>
      </c>
      <c r="I24" s="16" t="n">
        <f aca="false">SUM(C24:H24)</f>
        <v>285</v>
      </c>
    </row>
    <row r="25" customFormat="false" ht="13.2" hidden="false" customHeight="false" outlineLevel="0" collapsed="false">
      <c r="A25" s="13" t="s">
        <v>27</v>
      </c>
      <c r="B25" s="14" t="s">
        <v>39</v>
      </c>
      <c r="C25" s="15" t="n">
        <v>1</v>
      </c>
      <c r="D25" s="15" t="n">
        <v>38</v>
      </c>
      <c r="E25" s="15" t="n">
        <v>2</v>
      </c>
      <c r="F25" s="15" t="n">
        <v>83</v>
      </c>
      <c r="G25" s="15" t="n">
        <v>4</v>
      </c>
      <c r="H25" s="15" t="n">
        <v>157</v>
      </c>
      <c r="I25" s="16" t="n">
        <f aca="false">SUM(C25:H25)</f>
        <v>285</v>
      </c>
    </row>
    <row r="26" customFormat="false" ht="13.2" hidden="false" customHeight="false" outlineLevel="0" collapsed="false">
      <c r="A26" s="13" t="s">
        <v>28</v>
      </c>
      <c r="B26" s="14" t="s">
        <v>38</v>
      </c>
      <c r="C26" s="15" t="n">
        <v>212</v>
      </c>
      <c r="D26" s="15" t="n">
        <v>48</v>
      </c>
      <c r="E26" s="15" t="n">
        <v>0</v>
      </c>
      <c r="F26" s="15" t="n">
        <v>0</v>
      </c>
      <c r="G26" s="15" t="n">
        <v>0</v>
      </c>
      <c r="H26" s="15" t="n">
        <v>47</v>
      </c>
      <c r="I26" s="16" t="n">
        <f aca="false">SUM(C26:H26)</f>
        <v>307</v>
      </c>
    </row>
    <row r="27" customFormat="false" ht="13.2" hidden="false" customHeight="false" outlineLevel="0" collapsed="false">
      <c r="A27" s="13" t="s">
        <v>28</v>
      </c>
      <c r="B27" s="14" t="s">
        <v>39</v>
      </c>
      <c r="C27" s="15" t="n">
        <v>206</v>
      </c>
      <c r="D27" s="15" t="n">
        <v>46</v>
      </c>
      <c r="E27" s="15" t="n">
        <v>0</v>
      </c>
      <c r="F27" s="15" t="n">
        <v>0</v>
      </c>
      <c r="G27" s="15" t="n">
        <v>0</v>
      </c>
      <c r="H27" s="15" t="n">
        <v>55</v>
      </c>
      <c r="I27" s="16" t="n">
        <f aca="false">SUM(C27:H27)</f>
        <v>307</v>
      </c>
    </row>
    <row r="28" customFormat="false" ht="13.2" hidden="false" customHeight="false" outlineLevel="0" collapsed="false">
      <c r="A28" s="13" t="s">
        <v>32</v>
      </c>
      <c r="B28" s="14" t="s">
        <v>38</v>
      </c>
      <c r="C28" s="15" t="n">
        <v>3</v>
      </c>
      <c r="D28" s="15" t="n">
        <v>211</v>
      </c>
      <c r="E28" s="15" t="n">
        <v>14</v>
      </c>
      <c r="F28" s="15" t="n">
        <v>107</v>
      </c>
      <c r="G28" s="15" t="n">
        <v>8</v>
      </c>
      <c r="H28" s="15" t="n">
        <v>123</v>
      </c>
      <c r="I28" s="16" t="n">
        <f aca="false">SUM(C28:H28)</f>
        <v>466</v>
      </c>
    </row>
    <row r="29" customFormat="false" ht="13.2" hidden="false" customHeight="false" outlineLevel="0" collapsed="false">
      <c r="A29" s="13" t="s">
        <v>32</v>
      </c>
      <c r="B29" s="14" t="s">
        <v>39</v>
      </c>
      <c r="C29" s="15" t="n">
        <v>4</v>
      </c>
      <c r="D29" s="15" t="n">
        <v>193</v>
      </c>
      <c r="E29" s="15" t="n">
        <v>14</v>
      </c>
      <c r="F29" s="15" t="n">
        <v>118</v>
      </c>
      <c r="G29" s="15" t="n">
        <v>9</v>
      </c>
      <c r="H29" s="15" t="n">
        <v>128</v>
      </c>
      <c r="I29" s="16" t="n">
        <f aca="false">SUM(C29:H29)</f>
        <v>466</v>
      </c>
    </row>
    <row r="30" customFormat="false" ht="13.2" hidden="false" customHeight="false" outlineLevel="0" collapsed="false">
      <c r="A30" s="13" t="s">
        <v>33</v>
      </c>
      <c r="B30" s="14" t="s">
        <v>38</v>
      </c>
      <c r="C30" s="15" t="n">
        <v>3</v>
      </c>
      <c r="D30" s="15" t="n">
        <v>186</v>
      </c>
      <c r="E30" s="15" t="n">
        <v>5</v>
      </c>
      <c r="F30" s="15" t="n">
        <v>29</v>
      </c>
      <c r="G30" s="15" t="n">
        <v>6</v>
      </c>
      <c r="H30" s="15" t="n">
        <v>148</v>
      </c>
      <c r="I30" s="16" t="n">
        <f aca="false">SUM(C30:H30)</f>
        <v>377</v>
      </c>
    </row>
    <row r="31" customFormat="false" ht="13.2" hidden="false" customHeight="false" outlineLevel="0" collapsed="false">
      <c r="A31" s="13" t="s">
        <v>33</v>
      </c>
      <c r="B31" s="14" t="s">
        <v>39</v>
      </c>
      <c r="C31" s="15" t="n">
        <v>5</v>
      </c>
      <c r="D31" s="15" t="n">
        <v>185</v>
      </c>
      <c r="E31" s="15" t="n">
        <v>6</v>
      </c>
      <c r="F31" s="15" t="n">
        <v>28</v>
      </c>
      <c r="G31" s="15" t="n">
        <v>3</v>
      </c>
      <c r="H31" s="15" t="n">
        <v>150</v>
      </c>
      <c r="I31" s="16" t="n">
        <f aca="false">SUM(C31:H31)</f>
        <v>377</v>
      </c>
    </row>
    <row r="32" customFormat="false" ht="13.2" hidden="false" customHeight="false" outlineLevel="0" collapsed="false">
      <c r="A32" s="13" t="s">
        <v>29</v>
      </c>
      <c r="B32" s="14" t="s">
        <v>38</v>
      </c>
      <c r="C32" s="15" t="n">
        <v>0</v>
      </c>
      <c r="D32" s="15" t="n">
        <v>14</v>
      </c>
      <c r="E32" s="15" t="n">
        <v>1</v>
      </c>
      <c r="F32" s="15" t="n">
        <v>21</v>
      </c>
      <c r="G32" s="15" t="n">
        <v>1</v>
      </c>
      <c r="H32" s="15" t="n">
        <v>30</v>
      </c>
      <c r="I32" s="16" t="n">
        <f aca="false">SUM(C32:H32)</f>
        <v>67</v>
      </c>
    </row>
    <row r="33" customFormat="false" ht="13.2" hidden="false" customHeight="false" outlineLevel="0" collapsed="false">
      <c r="A33" s="13" t="s">
        <v>29</v>
      </c>
      <c r="B33" s="14" t="s">
        <v>39</v>
      </c>
      <c r="C33" s="15" t="n">
        <v>0</v>
      </c>
      <c r="D33" s="15" t="n">
        <v>14</v>
      </c>
      <c r="E33" s="15" t="n">
        <v>0</v>
      </c>
      <c r="F33" s="15" t="n">
        <v>20</v>
      </c>
      <c r="G33" s="15" t="n">
        <v>2</v>
      </c>
      <c r="H33" s="15" t="n">
        <v>31</v>
      </c>
      <c r="I33" s="16" t="n">
        <f aca="false">SUM(C33:H33)</f>
        <v>67</v>
      </c>
    </row>
    <row r="34" customFormat="false" ht="13.2" hidden="false" customHeight="false" outlineLevel="0" collapsed="false">
      <c r="A34" s="13" t="s">
        <v>30</v>
      </c>
      <c r="B34" s="14" t="s">
        <v>38</v>
      </c>
      <c r="C34" s="15" t="n">
        <v>1</v>
      </c>
      <c r="D34" s="15" t="n">
        <v>40</v>
      </c>
      <c r="E34" s="15" t="n">
        <v>1</v>
      </c>
      <c r="F34" s="15" t="n">
        <v>114</v>
      </c>
      <c r="G34" s="15" t="n">
        <v>5</v>
      </c>
      <c r="H34" s="15" t="n">
        <v>168</v>
      </c>
      <c r="I34" s="16" t="n">
        <f aca="false">SUM(C34:H34)</f>
        <v>329</v>
      </c>
    </row>
    <row r="35" customFormat="false" ht="13.2" hidden="false" customHeight="false" outlineLevel="0" collapsed="false">
      <c r="A35" s="13" t="s">
        <v>30</v>
      </c>
      <c r="B35" s="14" t="s">
        <v>39</v>
      </c>
      <c r="C35" s="15" t="n">
        <v>2</v>
      </c>
      <c r="D35" s="15" t="n">
        <v>37</v>
      </c>
      <c r="E35" s="15" t="n">
        <v>0</v>
      </c>
      <c r="F35" s="15" t="n">
        <v>116</v>
      </c>
      <c r="G35" s="15" t="n">
        <v>13</v>
      </c>
      <c r="H35" s="15" t="n">
        <v>161</v>
      </c>
      <c r="I35" s="16" t="n">
        <f aca="false">SUM(C35:H35)</f>
        <v>329</v>
      </c>
    </row>
    <row r="36" customFormat="false" ht="13.2" hidden="false" customHeight="false" outlineLevel="0" collapsed="false">
      <c r="A36" s="13" t="s">
        <v>34</v>
      </c>
      <c r="B36" s="14" t="s">
        <v>38</v>
      </c>
      <c r="C36" s="15" t="n">
        <v>3</v>
      </c>
      <c r="D36" s="15" t="n">
        <v>33</v>
      </c>
      <c r="E36" s="15" t="n">
        <v>3</v>
      </c>
      <c r="F36" s="15" t="n">
        <v>198</v>
      </c>
      <c r="G36" s="15" t="n">
        <v>3</v>
      </c>
      <c r="H36" s="15" t="n">
        <v>51</v>
      </c>
      <c r="I36" s="16" t="n">
        <f aca="false">SUM(C36:H36)</f>
        <v>291</v>
      </c>
    </row>
    <row r="37" customFormat="false" ht="13.2" hidden="false" customHeight="false" outlineLevel="0" collapsed="false">
      <c r="A37" s="13" t="s">
        <v>34</v>
      </c>
      <c r="B37" s="14" t="s">
        <v>39</v>
      </c>
      <c r="C37" s="15" t="n">
        <v>3</v>
      </c>
      <c r="D37" s="15" t="n">
        <v>37</v>
      </c>
      <c r="E37" s="15" t="n">
        <v>4</v>
      </c>
      <c r="F37" s="15" t="n">
        <v>185</v>
      </c>
      <c r="G37" s="15" t="n">
        <v>8</v>
      </c>
      <c r="H37" s="15" t="n">
        <v>54</v>
      </c>
      <c r="I37" s="16" t="n">
        <f aca="false">SUM(C37:H37)</f>
        <v>291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8984375" defaultRowHeight="13.2" zeroHeight="false" outlineLevelRow="0" outlineLevelCol="0"/>
  <cols>
    <col collapsed="false" customWidth="false" hidden="false" outlineLevel="0" max="1" min="1" style="8" width="11.57"/>
    <col collapsed="false" customWidth="true" hidden="false" outlineLevel="0" max="9" min="2" style="8" width="7.67"/>
    <col collapsed="false" customWidth="false" hidden="false" outlineLevel="0" max="1014" min="10" style="8" width="11.57"/>
    <col collapsed="false" customWidth="false" hidden="false" outlineLevel="0" max="1015" min="1015" style="9" width="11.57"/>
  </cols>
  <sheetData>
    <row r="1" customFormat="false" ht="13.2" hidden="false" customHeight="false" outlineLevel="0" collapsed="false">
      <c r="A1" s="10" t="s">
        <v>36</v>
      </c>
      <c r="B1" s="10" t="s">
        <v>37</v>
      </c>
      <c r="C1" s="10" t="s">
        <v>14</v>
      </c>
      <c r="D1" s="10" t="s">
        <v>11</v>
      </c>
      <c r="E1" s="10" t="s">
        <v>15</v>
      </c>
      <c r="F1" s="10" t="s">
        <v>12</v>
      </c>
      <c r="G1" s="10" t="s">
        <v>16</v>
      </c>
      <c r="H1" s="10" t="s">
        <v>13</v>
      </c>
      <c r="I1" s="10" t="s">
        <v>10</v>
      </c>
    </row>
    <row r="2" customFormat="false" ht="13.2" hidden="false" customHeight="false" outlineLevel="0" collapsed="false">
      <c r="A2" s="13" t="s">
        <v>17</v>
      </c>
      <c r="B2" s="10" t="s">
        <v>38</v>
      </c>
      <c r="C2" s="8" t="n">
        <v>25</v>
      </c>
      <c r="D2" s="8" t="n">
        <v>274</v>
      </c>
      <c r="E2" s="8" t="n">
        <v>33</v>
      </c>
      <c r="F2" s="8" t="n">
        <v>1163</v>
      </c>
      <c r="G2" s="8" t="n">
        <v>224</v>
      </c>
      <c r="H2" s="8" t="n">
        <v>1721</v>
      </c>
      <c r="I2" s="8" t="n">
        <f aca="false">SUM(C2:H2)</f>
        <v>3440</v>
      </c>
    </row>
    <row r="3" customFormat="false" ht="13.2" hidden="false" customHeight="false" outlineLevel="0" collapsed="false">
      <c r="A3" s="13" t="s">
        <v>17</v>
      </c>
      <c r="B3" s="10" t="s">
        <v>39</v>
      </c>
      <c r="C3" s="8" t="n">
        <v>20</v>
      </c>
      <c r="D3" s="8" t="n">
        <v>286</v>
      </c>
      <c r="E3" s="8" t="n">
        <v>30</v>
      </c>
      <c r="F3" s="8" t="n">
        <v>1158</v>
      </c>
      <c r="G3" s="8" t="n">
        <v>202</v>
      </c>
      <c r="H3" s="8" t="n">
        <v>1744</v>
      </c>
      <c r="I3" s="8" t="n">
        <f aca="false">SUM(C3:H3)</f>
        <v>3440</v>
      </c>
    </row>
    <row r="4" customFormat="false" ht="13.2" hidden="false" customHeight="false" outlineLevel="0" collapsed="false">
      <c r="A4" s="13" t="s">
        <v>21</v>
      </c>
      <c r="B4" s="10" t="s">
        <v>38</v>
      </c>
      <c r="C4" s="8" t="n">
        <v>16</v>
      </c>
      <c r="D4" s="8" t="n">
        <v>333</v>
      </c>
      <c r="E4" s="8" t="n">
        <v>4</v>
      </c>
      <c r="F4" s="8" t="n">
        <v>654</v>
      </c>
      <c r="G4" s="8" t="n">
        <v>175</v>
      </c>
      <c r="H4" s="8" t="n">
        <v>1369</v>
      </c>
      <c r="I4" s="8" t="n">
        <f aca="false">SUM(C4:H4)</f>
        <v>2551</v>
      </c>
    </row>
    <row r="5" customFormat="false" ht="13.2" hidden="false" customHeight="false" outlineLevel="0" collapsed="false">
      <c r="A5" s="13" t="s">
        <v>21</v>
      </c>
      <c r="B5" s="10" t="s">
        <v>39</v>
      </c>
      <c r="C5" s="8" t="n">
        <v>11</v>
      </c>
      <c r="D5" s="8" t="n">
        <v>307</v>
      </c>
      <c r="E5" s="8" t="n">
        <v>9</v>
      </c>
      <c r="F5" s="8" t="n">
        <v>666</v>
      </c>
      <c r="G5" s="8" t="n">
        <v>170</v>
      </c>
      <c r="H5" s="8" t="n">
        <v>1388</v>
      </c>
      <c r="I5" s="8" t="n">
        <f aca="false">SUM(C5:H5)</f>
        <v>2551</v>
      </c>
    </row>
    <row r="6" customFormat="false" ht="13.2" hidden="false" customHeight="false" outlineLevel="0" collapsed="false">
      <c r="A6" s="13" t="s">
        <v>20</v>
      </c>
      <c r="B6" s="10" t="s">
        <v>38</v>
      </c>
      <c r="C6" s="8" t="n">
        <v>21</v>
      </c>
      <c r="D6" s="8" t="n">
        <v>526</v>
      </c>
      <c r="E6" s="8" t="n">
        <v>12</v>
      </c>
      <c r="F6" s="8" t="n">
        <v>1115</v>
      </c>
      <c r="G6" s="8" t="n">
        <v>169</v>
      </c>
      <c r="H6" s="8" t="n">
        <v>1800</v>
      </c>
      <c r="I6" s="8" t="n">
        <f aca="false">SUM(C6:H6)</f>
        <v>3643</v>
      </c>
    </row>
    <row r="7" customFormat="false" ht="13.2" hidden="false" customHeight="false" outlineLevel="0" collapsed="false">
      <c r="A7" s="13" t="s">
        <v>20</v>
      </c>
      <c r="B7" s="10" t="s">
        <v>39</v>
      </c>
      <c r="C7" s="8" t="n">
        <v>19</v>
      </c>
      <c r="D7" s="8" t="n">
        <v>499</v>
      </c>
      <c r="E7" s="8" t="n">
        <v>15</v>
      </c>
      <c r="F7" s="8" t="n">
        <v>1123</v>
      </c>
      <c r="G7" s="8" t="n">
        <v>206</v>
      </c>
      <c r="H7" s="8" t="n">
        <v>1781</v>
      </c>
      <c r="I7" s="8" t="n">
        <f aca="false">SUM(C7:H7)</f>
        <v>3643</v>
      </c>
    </row>
    <row r="8" customFormat="false" ht="13.2" hidden="false" customHeight="false" outlineLevel="0" collapsed="false">
      <c r="A8" s="13" t="s">
        <v>31</v>
      </c>
      <c r="B8" s="10" t="s">
        <v>38</v>
      </c>
      <c r="C8" s="8" t="n">
        <v>4</v>
      </c>
      <c r="D8" s="8" t="n">
        <v>162</v>
      </c>
      <c r="E8" s="8" t="n">
        <v>7</v>
      </c>
      <c r="F8" s="8" t="n">
        <v>196</v>
      </c>
      <c r="G8" s="8" t="n">
        <v>17</v>
      </c>
      <c r="H8" s="8" t="n">
        <v>401</v>
      </c>
      <c r="I8" s="8" t="n">
        <f aca="false">SUM(C8:H8)</f>
        <v>787</v>
      </c>
    </row>
    <row r="9" customFormat="false" ht="13.2" hidden="false" customHeight="false" outlineLevel="0" collapsed="false">
      <c r="A9" s="13" t="s">
        <v>31</v>
      </c>
      <c r="B9" s="10" t="s">
        <v>39</v>
      </c>
      <c r="C9" s="8" t="n">
        <v>5</v>
      </c>
      <c r="D9" s="8" t="n">
        <v>154</v>
      </c>
      <c r="E9" s="8" t="n">
        <v>11</v>
      </c>
      <c r="F9" s="8" t="n">
        <v>205</v>
      </c>
      <c r="G9" s="8" t="n">
        <v>38</v>
      </c>
      <c r="H9" s="8" t="n">
        <v>374</v>
      </c>
      <c r="I9" s="8" t="n">
        <f aca="false">SUM(C9:H9)</f>
        <v>787</v>
      </c>
    </row>
    <row r="10" customFormat="false" ht="13.2" hidden="false" customHeight="false" outlineLevel="0" collapsed="false">
      <c r="A10" s="13" t="s">
        <v>19</v>
      </c>
      <c r="B10" s="10" t="s">
        <v>38</v>
      </c>
      <c r="C10" s="8" t="n">
        <v>74</v>
      </c>
      <c r="D10" s="8" t="n">
        <v>395</v>
      </c>
      <c r="E10" s="8" t="n">
        <v>41</v>
      </c>
      <c r="F10" s="8" t="n">
        <v>1419</v>
      </c>
      <c r="G10" s="8" t="n">
        <v>432</v>
      </c>
      <c r="H10" s="8" t="n">
        <v>2422</v>
      </c>
      <c r="I10" s="8" t="n">
        <f aca="false">SUM(C10:H10)</f>
        <v>4783</v>
      </c>
    </row>
    <row r="11" customFormat="false" ht="13.2" hidden="false" customHeight="false" outlineLevel="0" collapsed="false">
      <c r="A11" s="13" t="s">
        <v>19</v>
      </c>
      <c r="B11" s="10" t="s">
        <v>39</v>
      </c>
      <c r="C11" s="8" t="n">
        <v>68</v>
      </c>
      <c r="D11" s="8" t="n">
        <v>404</v>
      </c>
      <c r="E11" s="8" t="n">
        <v>32</v>
      </c>
      <c r="F11" s="8" t="n">
        <v>1456</v>
      </c>
      <c r="G11" s="8" t="n">
        <v>325</v>
      </c>
      <c r="H11" s="8" t="n">
        <v>2498</v>
      </c>
      <c r="I11" s="8" t="n">
        <f aca="false">SUM(C11:H11)</f>
        <v>4783</v>
      </c>
    </row>
    <row r="12" customFormat="false" ht="13.2" hidden="false" customHeight="false" outlineLevel="0" collapsed="false">
      <c r="A12" s="13" t="s">
        <v>18</v>
      </c>
      <c r="B12" s="10" t="s">
        <v>38</v>
      </c>
      <c r="C12" s="8" t="n">
        <v>21</v>
      </c>
      <c r="D12" s="8" t="n">
        <v>156</v>
      </c>
      <c r="E12" s="8" t="n">
        <v>19</v>
      </c>
      <c r="F12" s="8" t="n">
        <v>657</v>
      </c>
      <c r="G12" s="8" t="n">
        <v>146</v>
      </c>
      <c r="H12" s="8" t="n">
        <v>1260</v>
      </c>
      <c r="I12" s="8" t="n">
        <f aca="false">SUM(C12:H12)</f>
        <v>2259</v>
      </c>
    </row>
    <row r="13" customFormat="false" ht="13.2" hidden="false" customHeight="false" outlineLevel="0" collapsed="false">
      <c r="A13" s="13" t="s">
        <v>18</v>
      </c>
      <c r="B13" s="10" t="s">
        <v>39</v>
      </c>
      <c r="C13" s="8" t="n">
        <v>28</v>
      </c>
      <c r="D13" s="8" t="n">
        <v>161</v>
      </c>
      <c r="E13" s="8" t="n">
        <v>16</v>
      </c>
      <c r="F13" s="8" t="n">
        <v>675</v>
      </c>
      <c r="G13" s="8" t="n">
        <v>126</v>
      </c>
      <c r="H13" s="8" t="n">
        <v>1253</v>
      </c>
      <c r="I13" s="8" t="n">
        <f aca="false">SUM(C13:H13)</f>
        <v>2259</v>
      </c>
    </row>
    <row r="14" customFormat="false" ht="13.2" hidden="false" customHeight="false" outlineLevel="0" collapsed="false">
      <c r="A14" s="13" t="s">
        <v>22</v>
      </c>
      <c r="B14" s="10" t="s">
        <v>38</v>
      </c>
      <c r="C14" s="8" t="n">
        <v>4</v>
      </c>
      <c r="D14" s="8" t="n">
        <v>160</v>
      </c>
      <c r="E14" s="8" t="n">
        <v>6</v>
      </c>
      <c r="F14" s="8" t="n">
        <v>447</v>
      </c>
      <c r="G14" s="8" t="n">
        <v>23</v>
      </c>
      <c r="H14" s="8" t="n">
        <v>796</v>
      </c>
      <c r="I14" s="8" t="n">
        <f aca="false">SUM(C14:H14)</f>
        <v>1436</v>
      </c>
    </row>
    <row r="15" customFormat="false" ht="13.2" hidden="false" customHeight="false" outlineLevel="0" collapsed="false">
      <c r="A15" s="13" t="s">
        <v>22</v>
      </c>
      <c r="B15" s="10" t="s">
        <v>39</v>
      </c>
      <c r="C15" s="8" t="n">
        <v>8</v>
      </c>
      <c r="D15" s="8" t="n">
        <v>153</v>
      </c>
      <c r="E15" s="8" t="n">
        <v>1</v>
      </c>
      <c r="F15" s="8" t="n">
        <v>437</v>
      </c>
      <c r="G15" s="8" t="n">
        <v>43</v>
      </c>
      <c r="H15" s="8" t="n">
        <v>794</v>
      </c>
      <c r="I15" s="8" t="n">
        <f aca="false">SUM(C15:H15)</f>
        <v>1436</v>
      </c>
    </row>
    <row r="16" customFormat="false" ht="13.2" hidden="false" customHeight="false" outlineLevel="0" collapsed="false">
      <c r="A16" s="13" t="s">
        <v>23</v>
      </c>
      <c r="B16" s="10" t="s">
        <v>38</v>
      </c>
      <c r="C16" s="8" t="n">
        <v>22</v>
      </c>
      <c r="D16" s="8" t="n">
        <v>500</v>
      </c>
      <c r="E16" s="8" t="n">
        <v>16</v>
      </c>
      <c r="F16" s="8" t="n">
        <v>296</v>
      </c>
      <c r="G16" s="8" t="n">
        <v>40</v>
      </c>
      <c r="H16" s="8" t="n">
        <v>2795</v>
      </c>
      <c r="I16" s="8" t="n">
        <f aca="false">SUM(C16:H16)</f>
        <v>3669</v>
      </c>
    </row>
    <row r="17" customFormat="false" ht="13.2" hidden="false" customHeight="false" outlineLevel="0" collapsed="false">
      <c r="A17" s="13" t="s">
        <v>23</v>
      </c>
      <c r="B17" s="10" t="s">
        <v>39</v>
      </c>
      <c r="C17" s="8" t="n">
        <v>24</v>
      </c>
      <c r="D17" s="8" t="n">
        <v>481</v>
      </c>
      <c r="E17" s="8" t="n">
        <v>14</v>
      </c>
      <c r="F17" s="8" t="n">
        <v>307</v>
      </c>
      <c r="G17" s="8" t="n">
        <v>44</v>
      </c>
      <c r="H17" s="8" t="n">
        <v>2799</v>
      </c>
      <c r="I17" s="8" t="n">
        <f aca="false">SUM(C17:H17)</f>
        <v>3669</v>
      </c>
    </row>
    <row r="18" customFormat="false" ht="13.2" hidden="false" customHeight="false" outlineLevel="0" collapsed="false">
      <c r="A18" s="13" t="s">
        <v>24</v>
      </c>
      <c r="B18" s="10" t="s">
        <v>38</v>
      </c>
      <c r="C18" s="8" t="n">
        <v>14</v>
      </c>
      <c r="D18" s="8" t="n">
        <v>84</v>
      </c>
      <c r="E18" s="8" t="n">
        <v>14</v>
      </c>
      <c r="F18" s="8" t="n">
        <v>1669</v>
      </c>
      <c r="G18" s="8" t="n">
        <v>577</v>
      </c>
      <c r="H18" s="8" t="n">
        <v>3782</v>
      </c>
      <c r="I18" s="8" t="n">
        <f aca="false">SUM(C18:H18)</f>
        <v>6140</v>
      </c>
    </row>
    <row r="19" customFormat="false" ht="13.2" hidden="false" customHeight="false" outlineLevel="0" collapsed="false">
      <c r="A19" s="13" t="s">
        <v>24</v>
      </c>
      <c r="B19" s="10" t="s">
        <v>39</v>
      </c>
      <c r="C19" s="8" t="n">
        <v>13</v>
      </c>
      <c r="D19" s="8" t="n">
        <v>70</v>
      </c>
      <c r="E19" s="8" t="n">
        <v>13</v>
      </c>
      <c r="F19" s="8" t="n">
        <v>1658</v>
      </c>
      <c r="G19" s="8" t="n">
        <v>558</v>
      </c>
      <c r="H19" s="8" t="n">
        <v>3828</v>
      </c>
      <c r="I19" s="8" t="n">
        <f aca="false">SUM(C19:H19)</f>
        <v>6140</v>
      </c>
    </row>
    <row r="20" customFormat="false" ht="13.2" hidden="false" customHeight="false" outlineLevel="0" collapsed="false">
      <c r="A20" s="13" t="s">
        <v>25</v>
      </c>
      <c r="B20" s="10" t="s">
        <v>38</v>
      </c>
      <c r="C20" s="8" t="n">
        <v>41</v>
      </c>
      <c r="D20" s="8" t="n">
        <v>244</v>
      </c>
      <c r="E20" s="8" t="n">
        <v>26</v>
      </c>
      <c r="F20" s="8" t="n">
        <v>1190</v>
      </c>
      <c r="G20" s="8" t="n">
        <v>309</v>
      </c>
      <c r="H20" s="8" t="n">
        <v>2114</v>
      </c>
      <c r="I20" s="8" t="n">
        <f aca="false">SUM(C20:H20)</f>
        <v>3924</v>
      </c>
    </row>
    <row r="21" customFormat="false" ht="13.2" hidden="false" customHeight="false" outlineLevel="0" collapsed="false">
      <c r="A21" s="13" t="s">
        <v>25</v>
      </c>
      <c r="B21" s="10" t="s">
        <v>39</v>
      </c>
      <c r="C21" s="8" t="n">
        <v>28</v>
      </c>
      <c r="D21" s="8" t="n">
        <v>260</v>
      </c>
      <c r="E21" s="8" t="n">
        <v>28</v>
      </c>
      <c r="F21" s="8" t="n">
        <v>1183</v>
      </c>
      <c r="G21" s="8" t="n">
        <v>266</v>
      </c>
      <c r="H21" s="8" t="n">
        <v>2159</v>
      </c>
      <c r="I21" s="8" t="n">
        <f aca="false">SUM(C21:H21)</f>
        <v>3924</v>
      </c>
    </row>
    <row r="22" customFormat="false" ht="13.2" hidden="false" customHeight="false" outlineLevel="0" collapsed="false">
      <c r="A22" s="13" t="s">
        <v>26</v>
      </c>
      <c r="B22" s="10" t="s">
        <v>38</v>
      </c>
      <c r="C22" s="8" t="n">
        <v>3</v>
      </c>
      <c r="D22" s="8" t="n">
        <v>96</v>
      </c>
      <c r="E22" s="8" t="n">
        <v>3</v>
      </c>
      <c r="F22" s="8" t="n">
        <v>288</v>
      </c>
      <c r="G22" s="8" t="n">
        <v>65</v>
      </c>
      <c r="H22" s="8" t="n">
        <v>712</v>
      </c>
      <c r="I22" s="8" t="n">
        <f aca="false">SUM(C22:H22)</f>
        <v>1167</v>
      </c>
    </row>
    <row r="23" customFormat="false" ht="13.2" hidden="false" customHeight="false" outlineLevel="0" collapsed="false">
      <c r="A23" s="13" t="s">
        <v>26</v>
      </c>
      <c r="B23" s="10" t="s">
        <v>39</v>
      </c>
      <c r="C23" s="8" t="n">
        <v>5</v>
      </c>
      <c r="D23" s="8" t="n">
        <v>95</v>
      </c>
      <c r="E23" s="8" t="n">
        <v>5</v>
      </c>
      <c r="F23" s="8" t="n">
        <v>305</v>
      </c>
      <c r="G23" s="8" t="n">
        <v>66</v>
      </c>
      <c r="H23" s="8" t="n">
        <v>691</v>
      </c>
      <c r="I23" s="8" t="n">
        <f aca="false">SUM(C23:H23)</f>
        <v>1167</v>
      </c>
    </row>
    <row r="24" customFormat="false" ht="13.2" hidden="false" customHeight="false" outlineLevel="0" collapsed="false">
      <c r="A24" s="13" t="s">
        <v>27</v>
      </c>
      <c r="B24" s="10" t="s">
        <v>38</v>
      </c>
      <c r="C24" s="8" t="n">
        <v>3</v>
      </c>
      <c r="D24" s="8" t="n">
        <v>257</v>
      </c>
      <c r="E24" s="8" t="n">
        <v>6</v>
      </c>
      <c r="F24" s="8" t="n">
        <v>862</v>
      </c>
      <c r="G24" s="8" t="n">
        <v>69</v>
      </c>
      <c r="H24" s="8" t="n">
        <v>1426</v>
      </c>
      <c r="I24" s="8" t="n">
        <f aca="false">SUM(C24:H24)</f>
        <v>2623</v>
      </c>
    </row>
    <row r="25" customFormat="false" ht="13.2" hidden="false" customHeight="false" outlineLevel="0" collapsed="false">
      <c r="A25" s="13" t="s">
        <v>27</v>
      </c>
      <c r="B25" s="10" t="s">
        <v>39</v>
      </c>
      <c r="C25" s="8" t="n">
        <v>8</v>
      </c>
      <c r="D25" s="8" t="n">
        <v>276</v>
      </c>
      <c r="E25" s="8" t="n">
        <v>6</v>
      </c>
      <c r="F25" s="8" t="n">
        <v>844</v>
      </c>
      <c r="G25" s="8" t="n">
        <v>76</v>
      </c>
      <c r="H25" s="8" t="n">
        <v>1413</v>
      </c>
      <c r="I25" s="8" t="n">
        <f aca="false">SUM(C25:H25)</f>
        <v>2623</v>
      </c>
    </row>
    <row r="26" customFormat="false" ht="13.2" hidden="false" customHeight="false" outlineLevel="0" collapsed="false">
      <c r="A26" s="13" t="s">
        <v>28</v>
      </c>
      <c r="B26" s="10" t="s">
        <v>38</v>
      </c>
      <c r="C26" s="8" t="n">
        <v>2106</v>
      </c>
      <c r="D26" s="8" t="n">
        <v>501</v>
      </c>
      <c r="E26" s="8" t="n">
        <v>0</v>
      </c>
      <c r="F26" s="8" t="n">
        <v>0</v>
      </c>
      <c r="G26" s="8" t="n">
        <v>0</v>
      </c>
      <c r="H26" s="8" t="n">
        <v>441</v>
      </c>
      <c r="I26" s="8" t="n">
        <f aca="false">SUM(C26:H26)</f>
        <v>3048</v>
      </c>
    </row>
    <row r="27" customFormat="false" ht="13.2" hidden="false" customHeight="false" outlineLevel="0" collapsed="false">
      <c r="A27" s="13" t="s">
        <v>28</v>
      </c>
      <c r="B27" s="10" t="s">
        <v>39</v>
      </c>
      <c r="C27" s="8" t="n">
        <v>2099</v>
      </c>
      <c r="D27" s="8" t="n">
        <v>514</v>
      </c>
      <c r="E27" s="8" t="n">
        <v>1</v>
      </c>
      <c r="F27" s="8" t="n">
        <v>1</v>
      </c>
      <c r="G27" s="8" t="n">
        <v>2</v>
      </c>
      <c r="H27" s="8" t="n">
        <v>431</v>
      </c>
      <c r="I27" s="8" t="n">
        <f aca="false">SUM(C27:H27)</f>
        <v>3048</v>
      </c>
    </row>
    <row r="28" customFormat="false" ht="13.2" hidden="false" customHeight="false" outlineLevel="0" collapsed="false">
      <c r="A28" s="13" t="s">
        <v>32</v>
      </c>
      <c r="B28" s="10" t="s">
        <v>38</v>
      </c>
      <c r="C28" s="8" t="n">
        <v>40</v>
      </c>
      <c r="D28" s="8" t="n">
        <v>1405</v>
      </c>
      <c r="E28" s="8" t="n">
        <v>89</v>
      </c>
      <c r="F28" s="8" t="n">
        <v>898</v>
      </c>
      <c r="G28" s="8" t="n">
        <v>59</v>
      </c>
      <c r="H28" s="8" t="n">
        <v>898</v>
      </c>
      <c r="I28" s="8" t="n">
        <f aca="false">SUM(C28:H28)</f>
        <v>3389</v>
      </c>
    </row>
    <row r="29" customFormat="false" ht="13.2" hidden="false" customHeight="false" outlineLevel="0" collapsed="false">
      <c r="A29" s="13" t="s">
        <v>32</v>
      </c>
      <c r="B29" s="10" t="s">
        <v>39</v>
      </c>
      <c r="C29" s="8" t="n">
        <v>53</v>
      </c>
      <c r="D29" s="8" t="n">
        <v>1381</v>
      </c>
      <c r="E29" s="8" t="n">
        <v>89</v>
      </c>
      <c r="F29" s="8" t="n">
        <v>868</v>
      </c>
      <c r="G29" s="8" t="n">
        <v>51</v>
      </c>
      <c r="H29" s="8" t="n">
        <v>947</v>
      </c>
      <c r="I29" s="8" t="n">
        <f aca="false">SUM(C29:H29)</f>
        <v>3389</v>
      </c>
    </row>
    <row r="30" customFormat="false" ht="13.2" hidden="false" customHeight="false" outlineLevel="0" collapsed="false">
      <c r="A30" s="13" t="s">
        <v>33</v>
      </c>
      <c r="B30" s="10" t="s">
        <v>38</v>
      </c>
      <c r="C30" s="8" t="n">
        <v>40</v>
      </c>
      <c r="D30" s="8" t="n">
        <v>1473</v>
      </c>
      <c r="E30" s="8" t="n">
        <v>39</v>
      </c>
      <c r="F30" s="8" t="n">
        <v>274</v>
      </c>
      <c r="G30" s="8" t="n">
        <v>26</v>
      </c>
      <c r="H30" s="8" t="n">
        <v>1261</v>
      </c>
      <c r="I30" s="8" t="n">
        <f aca="false">SUM(C30:H30)</f>
        <v>3113</v>
      </c>
    </row>
    <row r="31" customFormat="false" ht="13.2" hidden="false" customHeight="false" outlineLevel="0" collapsed="false">
      <c r="A31" s="13" t="s">
        <v>33</v>
      </c>
      <c r="B31" s="10" t="s">
        <v>39</v>
      </c>
      <c r="C31" s="8" t="n">
        <v>33</v>
      </c>
      <c r="D31" s="8" t="n">
        <v>1432</v>
      </c>
      <c r="E31" s="8" t="n">
        <v>31</v>
      </c>
      <c r="F31" s="8" t="n">
        <v>253</v>
      </c>
      <c r="G31" s="8" t="n">
        <v>38</v>
      </c>
      <c r="H31" s="8" t="n">
        <v>1326</v>
      </c>
      <c r="I31" s="8" t="n">
        <f aca="false">SUM(C31:H31)</f>
        <v>3113</v>
      </c>
    </row>
    <row r="32" customFormat="false" ht="13.2" hidden="false" customHeight="false" outlineLevel="0" collapsed="false">
      <c r="A32" s="13" t="s">
        <v>29</v>
      </c>
      <c r="B32" s="10" t="s">
        <v>38</v>
      </c>
      <c r="C32" s="8" t="n">
        <v>4</v>
      </c>
      <c r="D32" s="8" t="n">
        <v>110</v>
      </c>
      <c r="E32" s="8" t="n">
        <v>2</v>
      </c>
      <c r="F32" s="8" t="n">
        <v>288</v>
      </c>
      <c r="G32" s="8" t="n">
        <v>23</v>
      </c>
      <c r="H32" s="8" t="n">
        <v>353</v>
      </c>
      <c r="I32" s="8" t="n">
        <f aca="false">SUM(C32:H32)</f>
        <v>780</v>
      </c>
    </row>
    <row r="33" customFormat="false" ht="13.2" hidden="false" customHeight="false" outlineLevel="0" collapsed="false">
      <c r="A33" s="13" t="s">
        <v>29</v>
      </c>
      <c r="B33" s="10" t="s">
        <v>39</v>
      </c>
      <c r="C33" s="8" t="n">
        <v>3</v>
      </c>
      <c r="D33" s="8" t="n">
        <v>106</v>
      </c>
      <c r="E33" s="8" t="n">
        <v>6</v>
      </c>
      <c r="F33" s="8" t="n">
        <v>287</v>
      </c>
      <c r="G33" s="8" t="n">
        <v>21</v>
      </c>
      <c r="H33" s="8" t="n">
        <v>357</v>
      </c>
      <c r="I33" s="8" t="n">
        <f aca="false">SUM(C33:H33)</f>
        <v>780</v>
      </c>
    </row>
    <row r="34" customFormat="false" ht="13.2" hidden="false" customHeight="false" outlineLevel="0" collapsed="false">
      <c r="A34" s="13" t="s">
        <v>30</v>
      </c>
      <c r="B34" s="10" t="s">
        <v>38</v>
      </c>
      <c r="C34" s="8" t="n">
        <v>3</v>
      </c>
      <c r="D34" s="8" t="n">
        <v>228</v>
      </c>
      <c r="E34" s="8" t="n">
        <v>5</v>
      </c>
      <c r="F34" s="8" t="n">
        <v>864</v>
      </c>
      <c r="G34" s="8" t="n">
        <v>58</v>
      </c>
      <c r="H34" s="8" t="n">
        <v>1146</v>
      </c>
      <c r="I34" s="8" t="n">
        <f aca="false">SUM(C34:H34)</f>
        <v>2304</v>
      </c>
    </row>
    <row r="35" customFormat="false" ht="13.2" hidden="false" customHeight="false" outlineLevel="0" collapsed="false">
      <c r="A35" s="13" t="s">
        <v>30</v>
      </c>
      <c r="B35" s="10" t="s">
        <v>39</v>
      </c>
      <c r="C35" s="8" t="n">
        <v>5</v>
      </c>
      <c r="D35" s="8" t="n">
        <v>233</v>
      </c>
      <c r="E35" s="8" t="n">
        <v>3</v>
      </c>
      <c r="F35" s="8" t="n">
        <v>867</v>
      </c>
      <c r="G35" s="8" t="n">
        <v>65</v>
      </c>
      <c r="H35" s="8" t="n">
        <v>1131</v>
      </c>
      <c r="I35" s="8" t="n">
        <f aca="false">SUM(C35:H35)</f>
        <v>2304</v>
      </c>
    </row>
    <row r="36" customFormat="false" ht="13.2" hidden="false" customHeight="false" outlineLevel="0" collapsed="false">
      <c r="A36" s="13" t="s">
        <v>34</v>
      </c>
      <c r="B36" s="10" t="s">
        <v>38</v>
      </c>
      <c r="C36" s="8" t="n">
        <v>60</v>
      </c>
      <c r="D36" s="8" t="n">
        <v>338</v>
      </c>
      <c r="E36" s="8" t="n">
        <v>52</v>
      </c>
      <c r="F36" s="8" t="n">
        <v>2776</v>
      </c>
      <c r="G36" s="8" t="n">
        <v>27</v>
      </c>
      <c r="H36" s="8" t="n">
        <v>767</v>
      </c>
      <c r="I36" s="8" t="n">
        <f aca="false">SUM(C36:H36)</f>
        <v>4020</v>
      </c>
    </row>
    <row r="37" customFormat="false" ht="13.2" hidden="false" customHeight="false" outlineLevel="0" collapsed="false">
      <c r="A37" s="13" t="s">
        <v>34</v>
      </c>
      <c r="B37" s="10" t="s">
        <v>39</v>
      </c>
      <c r="C37" s="8" t="n">
        <v>55</v>
      </c>
      <c r="D37" s="8" t="n">
        <v>331</v>
      </c>
      <c r="E37" s="8" t="n">
        <v>51</v>
      </c>
      <c r="F37" s="8" t="n">
        <v>2802</v>
      </c>
      <c r="G37" s="8" t="n">
        <v>26</v>
      </c>
      <c r="H37" s="8" t="n">
        <v>755</v>
      </c>
      <c r="I37" s="8" t="n">
        <f aca="false">SUM(C37:H37)</f>
        <v>4020</v>
      </c>
    </row>
    <row r="44" customFormat="false" ht="13.2" hidden="false" customHeight="false" outlineLevel="0" collapsed="false">
      <c r="J44" s="1"/>
    </row>
    <row r="45" customFormat="false" ht="13.2" hidden="false" customHeight="false" outlineLevel="0" collapsed="false">
      <c r="J45" s="1"/>
    </row>
    <row r="50" customFormat="false" ht="13.2" hidden="false" customHeight="false" outlineLevel="0" collapsed="false">
      <c r="J50" s="1"/>
    </row>
    <row r="51" customFormat="false" ht="13.2" hidden="false" customHeight="false" outlineLevel="0" collapsed="false">
      <c r="J5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1.578125" defaultRowHeight="13.2" zeroHeight="false" outlineLevelRow="0" outlineLevelCol="0"/>
  <cols>
    <col collapsed="false" customWidth="true" hidden="false" outlineLevel="0" max="28" min="1" style="8" width="7.67"/>
    <col collapsed="false" customWidth="false" hidden="false" outlineLevel="0" max="1014" min="29" style="8" width="11.57"/>
  </cols>
  <sheetData>
    <row r="1" customFormat="false" ht="15" hidden="false" customHeight="true" outlineLevel="0" collapsed="false">
      <c r="A1" s="3" t="s">
        <v>4</v>
      </c>
      <c r="B1" s="4" t="s">
        <v>1</v>
      </c>
      <c r="C1" s="4"/>
      <c r="D1" s="4"/>
      <c r="E1" s="4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4</v>
      </c>
      <c r="B2" s="4"/>
      <c r="C2" s="4"/>
      <c r="D2" s="4"/>
      <c r="E2" s="4" t="s">
        <v>5</v>
      </c>
      <c r="F2" s="4"/>
      <c r="G2" s="4"/>
      <c r="H2" s="4"/>
      <c r="I2" s="4"/>
      <c r="J2" s="4"/>
      <c r="K2" s="4" t="s">
        <v>6</v>
      </c>
      <c r="L2" s="4"/>
      <c r="M2" s="4"/>
      <c r="N2" s="4"/>
      <c r="O2" s="4"/>
      <c r="P2" s="4"/>
      <c r="Q2" s="4" t="s">
        <v>5</v>
      </c>
      <c r="R2" s="4"/>
      <c r="S2" s="4"/>
      <c r="T2" s="4"/>
      <c r="U2" s="4"/>
      <c r="V2" s="4"/>
      <c r="W2" s="4" t="s">
        <v>6</v>
      </c>
      <c r="X2" s="4"/>
      <c r="Y2" s="4"/>
      <c r="Z2" s="4"/>
      <c r="AA2" s="4"/>
      <c r="AB2" s="4"/>
    </row>
    <row r="3" customFormat="false" ht="15" hidden="false" customHeight="false" outlineLevel="0" collapsed="false">
      <c r="A3" s="5" t="s">
        <v>4</v>
      </c>
      <c r="B3" s="4"/>
      <c r="C3" s="4"/>
      <c r="D3" s="4"/>
      <c r="E3" s="4" t="s">
        <v>7</v>
      </c>
      <c r="F3" s="4"/>
      <c r="G3" s="4"/>
      <c r="H3" s="4" t="s">
        <v>8</v>
      </c>
      <c r="I3" s="4"/>
      <c r="J3" s="4"/>
      <c r="K3" s="4" t="s">
        <v>7</v>
      </c>
      <c r="L3" s="4"/>
      <c r="M3" s="4"/>
      <c r="N3" s="4" t="s">
        <v>8</v>
      </c>
      <c r="O3" s="4"/>
      <c r="P3" s="4"/>
      <c r="Q3" s="4" t="s">
        <v>7</v>
      </c>
      <c r="R3" s="4"/>
      <c r="S3" s="4"/>
      <c r="T3" s="4" t="s">
        <v>8</v>
      </c>
      <c r="U3" s="4"/>
      <c r="V3" s="4"/>
      <c r="W3" s="4" t="s">
        <v>7</v>
      </c>
      <c r="X3" s="4"/>
      <c r="Y3" s="4"/>
      <c r="Z3" s="4" t="s">
        <v>8</v>
      </c>
      <c r="AA3" s="4"/>
      <c r="AB3" s="4"/>
    </row>
    <row r="4" customFormat="false" ht="26.85" hidden="false" customHeight="false" outlineLevel="0" collapsed="false">
      <c r="A4" s="5" t="s">
        <v>9</v>
      </c>
      <c r="B4" s="3" t="s">
        <v>10</v>
      </c>
      <c r="C4" s="3" t="s">
        <v>7</v>
      </c>
      <c r="D4" s="3" t="s">
        <v>8</v>
      </c>
      <c r="E4" s="3" t="s">
        <v>11</v>
      </c>
      <c r="F4" s="3" t="s">
        <v>12</v>
      </c>
      <c r="G4" s="3" t="s">
        <v>13</v>
      </c>
      <c r="H4" s="3" t="s">
        <v>11</v>
      </c>
      <c r="I4" s="3" t="s">
        <v>12</v>
      </c>
      <c r="J4" s="3" t="s">
        <v>13</v>
      </c>
      <c r="K4" s="3" t="s">
        <v>11</v>
      </c>
      <c r="L4" s="3" t="s">
        <v>12</v>
      </c>
      <c r="M4" s="3" t="s">
        <v>13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14</v>
      </c>
      <c r="U4" s="3" t="s">
        <v>15</v>
      </c>
      <c r="V4" s="3" t="s">
        <v>16</v>
      </c>
      <c r="W4" s="3" t="s">
        <v>14</v>
      </c>
      <c r="X4" s="3" t="s">
        <v>15</v>
      </c>
      <c r="Y4" s="3" t="s">
        <v>16</v>
      </c>
      <c r="Z4" s="3" t="s">
        <v>14</v>
      </c>
      <c r="AA4" s="3" t="s">
        <v>15</v>
      </c>
      <c r="AB4" s="3" t="s">
        <v>16</v>
      </c>
    </row>
    <row r="5" customFormat="false" ht="15" hidden="false" customHeight="false" outlineLevel="0" collapsed="false">
      <c r="A5" s="3" t="s">
        <v>17</v>
      </c>
      <c r="B5" s="3" t="n">
        <f aca="false">SUM(C5:D5)</f>
        <v>4272</v>
      </c>
      <c r="C5" s="3" t="n">
        <v>832</v>
      </c>
      <c r="D5" s="3" t="n">
        <v>3440</v>
      </c>
      <c r="E5" s="3" t="n">
        <v>6.5</v>
      </c>
      <c r="F5" s="3" t="n">
        <v>68.8</v>
      </c>
      <c r="G5" s="3" t="n">
        <v>10.8</v>
      </c>
      <c r="H5" s="3" t="n">
        <v>6.6</v>
      </c>
      <c r="I5" s="3" t="n">
        <v>70.2</v>
      </c>
      <c r="J5" s="3" t="n">
        <v>10.1</v>
      </c>
      <c r="K5" s="3" t="n">
        <v>4.9</v>
      </c>
      <c r="L5" s="3" t="n">
        <v>69.7</v>
      </c>
      <c r="M5" s="3" t="n">
        <v>10.6</v>
      </c>
      <c r="N5" s="3" t="n">
        <v>6.8</v>
      </c>
      <c r="O5" s="3" t="n">
        <v>71.3</v>
      </c>
      <c r="P5" s="3" t="n">
        <v>10.1</v>
      </c>
      <c r="Q5" s="3" t="n">
        <v>0</v>
      </c>
      <c r="R5" s="3" t="n">
        <v>6.5</v>
      </c>
      <c r="S5" s="3" t="n">
        <v>7.5</v>
      </c>
      <c r="T5" s="3" t="n">
        <v>0.1</v>
      </c>
      <c r="U5" s="3" t="n">
        <v>5.8</v>
      </c>
      <c r="V5" s="3" t="n">
        <v>7.1</v>
      </c>
      <c r="W5" s="3" t="n">
        <v>0.5</v>
      </c>
      <c r="X5" s="3" t="n">
        <v>7</v>
      </c>
      <c r="Y5" s="3" t="n">
        <v>7.3</v>
      </c>
      <c r="Z5" s="3" t="n">
        <v>0.4</v>
      </c>
      <c r="AA5" s="3" t="n">
        <v>6.1</v>
      </c>
      <c r="AB5" s="3" t="n">
        <v>5.3</v>
      </c>
    </row>
    <row r="6" customFormat="false" ht="15" hidden="false" customHeight="false" outlineLevel="0" collapsed="false">
      <c r="A6" s="3" t="s">
        <v>18</v>
      </c>
      <c r="B6" s="3" t="n">
        <f aca="false">SUM(C6:D6)</f>
        <v>2931</v>
      </c>
      <c r="C6" s="3" t="n">
        <v>380</v>
      </c>
      <c r="D6" s="3" t="n">
        <v>2551</v>
      </c>
      <c r="E6" s="3" t="n">
        <v>21.1</v>
      </c>
      <c r="F6" s="3" t="n">
        <v>5.3</v>
      </c>
      <c r="G6" s="3" t="n">
        <v>29.5</v>
      </c>
      <c r="H6" s="3" t="n">
        <v>16</v>
      </c>
      <c r="I6" s="3" t="n">
        <v>5.2</v>
      </c>
      <c r="J6" s="3" t="n">
        <v>34.1</v>
      </c>
      <c r="K6" s="3" t="n">
        <v>18.9</v>
      </c>
      <c r="L6" s="3" t="n">
        <v>5.3</v>
      </c>
      <c r="M6" s="3" t="n">
        <v>26.1</v>
      </c>
      <c r="N6" s="3" t="n">
        <v>15.5</v>
      </c>
      <c r="O6" s="3" t="n">
        <v>5.4</v>
      </c>
      <c r="P6" s="3" t="n">
        <v>33.4</v>
      </c>
      <c r="Q6" s="3" t="n">
        <v>33.9</v>
      </c>
      <c r="R6" s="3" t="n">
        <v>6.1</v>
      </c>
      <c r="S6" s="3" t="n">
        <v>4.2</v>
      </c>
      <c r="T6" s="3" t="n">
        <v>31.4</v>
      </c>
      <c r="U6" s="3" t="n">
        <v>7.5</v>
      </c>
      <c r="V6" s="3" t="n">
        <v>5.8</v>
      </c>
      <c r="W6" s="3" t="n">
        <v>36.8</v>
      </c>
      <c r="X6" s="3" t="n">
        <v>7.1</v>
      </c>
      <c r="Y6" s="3" t="n">
        <v>5.8</v>
      </c>
      <c r="Z6" s="3" t="n">
        <v>32</v>
      </c>
      <c r="AA6" s="3" t="n">
        <v>7.8</v>
      </c>
      <c r="AB6" s="3" t="n">
        <v>5.9</v>
      </c>
    </row>
    <row r="7" customFormat="false" ht="15" hidden="false" customHeight="false" outlineLevel="0" collapsed="false">
      <c r="A7" s="3" t="s">
        <v>19</v>
      </c>
      <c r="B7" s="3" t="n">
        <f aca="false">SUM(C7:D7)</f>
        <v>3997</v>
      </c>
      <c r="C7" s="3" t="n">
        <v>354</v>
      </c>
      <c r="D7" s="3" t="n">
        <v>3643</v>
      </c>
      <c r="E7" s="3" t="n">
        <v>17.2</v>
      </c>
      <c r="F7" s="3" t="n">
        <v>6.5</v>
      </c>
      <c r="G7" s="3" t="n">
        <v>24.3</v>
      </c>
      <c r="H7" s="3" t="n">
        <v>15.4</v>
      </c>
      <c r="I7" s="3" t="n">
        <v>7.3</v>
      </c>
      <c r="J7" s="3" t="n">
        <v>27.8</v>
      </c>
      <c r="K7" s="3" t="n">
        <v>17.8</v>
      </c>
      <c r="L7" s="3" t="n">
        <v>7.1</v>
      </c>
      <c r="M7" s="3" t="n">
        <v>26.8</v>
      </c>
      <c r="N7" s="3" t="n">
        <v>14.9</v>
      </c>
      <c r="O7" s="3" t="n">
        <v>6.3</v>
      </c>
      <c r="P7" s="3" t="n">
        <v>27.2</v>
      </c>
      <c r="Q7" s="3" t="n">
        <v>45.2</v>
      </c>
      <c r="R7" s="3" t="n">
        <v>4.2</v>
      </c>
      <c r="S7" s="3" t="n">
        <v>2.5</v>
      </c>
      <c r="T7" s="3" t="n">
        <v>43.5</v>
      </c>
      <c r="U7" s="3" t="n">
        <v>3.8</v>
      </c>
      <c r="V7" s="3" t="n">
        <v>2.3</v>
      </c>
      <c r="W7" s="3" t="n">
        <v>41.5</v>
      </c>
      <c r="X7" s="3" t="n">
        <v>3.4</v>
      </c>
      <c r="Y7" s="3" t="n">
        <v>3.4</v>
      </c>
      <c r="Z7" s="3" t="n">
        <v>46.1</v>
      </c>
      <c r="AA7" s="3" t="n">
        <v>3.3</v>
      </c>
      <c r="AB7" s="3" t="n">
        <v>2.2</v>
      </c>
    </row>
    <row r="8" customFormat="false" ht="15" hidden="false" customHeight="false" outlineLevel="0" collapsed="false">
      <c r="A8" s="3" t="s">
        <v>20</v>
      </c>
      <c r="B8" s="3" t="n">
        <f aca="false">SUM(C8:D8)</f>
        <v>5133</v>
      </c>
      <c r="C8" s="3" t="n">
        <v>350</v>
      </c>
      <c r="D8" s="3" t="n">
        <v>4783</v>
      </c>
      <c r="E8" s="3" t="n">
        <v>14.9</v>
      </c>
      <c r="F8" s="3" t="n">
        <v>53.4</v>
      </c>
      <c r="G8" s="3" t="n">
        <v>17.1</v>
      </c>
      <c r="H8" s="3" t="n">
        <v>14.2</v>
      </c>
      <c r="I8" s="3" t="n">
        <v>58.3</v>
      </c>
      <c r="J8" s="3" t="n">
        <v>16.7</v>
      </c>
      <c r="K8" s="3" t="n">
        <v>16.3</v>
      </c>
      <c r="L8" s="3" t="n">
        <v>55.4</v>
      </c>
      <c r="M8" s="3" t="n">
        <v>17.7</v>
      </c>
      <c r="N8" s="3" t="n">
        <v>13.6</v>
      </c>
      <c r="O8" s="3" t="n">
        <v>59.8</v>
      </c>
      <c r="P8" s="3" t="n">
        <v>17</v>
      </c>
      <c r="Q8" s="3" t="n">
        <v>0.3</v>
      </c>
      <c r="R8" s="3" t="n">
        <v>6.9</v>
      </c>
      <c r="S8" s="3" t="n">
        <v>7.4</v>
      </c>
      <c r="T8" s="3" t="n">
        <v>0.1</v>
      </c>
      <c r="U8" s="3" t="n">
        <v>5.1</v>
      </c>
      <c r="V8" s="3" t="n">
        <v>5.5</v>
      </c>
      <c r="W8" s="3" t="n">
        <v>0.6</v>
      </c>
      <c r="X8" s="3" t="n">
        <v>4.9</v>
      </c>
      <c r="Y8" s="3" t="n">
        <v>5.1</v>
      </c>
      <c r="Z8" s="3" t="n">
        <v>0.2</v>
      </c>
      <c r="AA8" s="3" t="n">
        <v>4.7</v>
      </c>
      <c r="AB8" s="3" t="n">
        <v>4.7</v>
      </c>
    </row>
    <row r="9" customFormat="false" ht="15" hidden="false" customHeight="false" outlineLevel="0" collapsed="false">
      <c r="A9" s="3" t="s">
        <v>21</v>
      </c>
      <c r="B9" s="3" t="n">
        <f aca="false">SUM(C9:D9)</f>
        <v>2550</v>
      </c>
      <c r="C9" s="3" t="n">
        <v>291</v>
      </c>
      <c r="D9" s="3" t="n">
        <v>2259</v>
      </c>
      <c r="E9" s="3" t="n">
        <v>17.9</v>
      </c>
      <c r="F9" s="3" t="n">
        <v>56.4</v>
      </c>
      <c r="G9" s="3" t="n">
        <v>17.5</v>
      </c>
      <c r="H9" s="3" t="n">
        <v>14.8</v>
      </c>
      <c r="I9" s="3" t="n">
        <v>56.8</v>
      </c>
      <c r="J9" s="3" t="n">
        <v>18.8</v>
      </c>
      <c r="K9" s="3" t="n">
        <v>12</v>
      </c>
      <c r="L9" s="3" t="n">
        <v>56</v>
      </c>
      <c r="M9" s="3" t="n">
        <v>20.3</v>
      </c>
      <c r="N9" s="3" t="n">
        <v>14.8</v>
      </c>
      <c r="O9" s="3" t="n">
        <v>56.6</v>
      </c>
      <c r="P9" s="3" t="n">
        <v>19.7</v>
      </c>
      <c r="Q9" s="3" t="n">
        <v>0</v>
      </c>
      <c r="R9" s="3" t="n">
        <v>4.8</v>
      </c>
      <c r="S9" s="3" t="n">
        <v>3.4</v>
      </c>
      <c r="T9" s="3" t="n">
        <v>0.2</v>
      </c>
      <c r="U9" s="3" t="n">
        <v>4.6</v>
      </c>
      <c r="V9" s="3" t="n">
        <v>4.9</v>
      </c>
      <c r="W9" s="3" t="n">
        <v>0.3</v>
      </c>
      <c r="X9" s="3" t="n">
        <v>6.2</v>
      </c>
      <c r="Y9" s="3" t="n">
        <v>5.2</v>
      </c>
      <c r="Z9" s="3" t="n">
        <v>0.5</v>
      </c>
      <c r="AA9" s="3" t="n">
        <v>4.6</v>
      </c>
      <c r="AB9" s="3" t="n">
        <v>3.8</v>
      </c>
    </row>
    <row r="10" customFormat="false" ht="15" hidden="false" customHeight="false" outlineLevel="0" collapsed="false">
      <c r="A10" s="3" t="s">
        <v>22</v>
      </c>
      <c r="B10" s="3" t="n">
        <f aca="false">SUM(C10:D10)</f>
        <v>1679</v>
      </c>
      <c r="C10" s="3" t="n">
        <v>243</v>
      </c>
      <c r="D10" s="3" t="n">
        <v>1436</v>
      </c>
      <c r="E10" s="3" t="n">
        <v>18.9</v>
      </c>
      <c r="F10" s="3" t="n">
        <v>10.3</v>
      </c>
      <c r="G10" s="3" t="n">
        <v>35.4</v>
      </c>
      <c r="H10" s="3" t="n">
        <v>24.8</v>
      </c>
      <c r="I10" s="3" t="n">
        <v>8.2</v>
      </c>
      <c r="J10" s="3" t="n">
        <v>35.2</v>
      </c>
      <c r="K10" s="3" t="n">
        <v>18.9</v>
      </c>
      <c r="L10" s="3" t="n">
        <v>13.2</v>
      </c>
      <c r="M10" s="3" t="n">
        <v>36.2</v>
      </c>
      <c r="N10" s="3" t="n">
        <v>22.8</v>
      </c>
      <c r="O10" s="3" t="n">
        <v>8.4</v>
      </c>
      <c r="P10" s="3" t="n">
        <v>37.4</v>
      </c>
      <c r="Q10" s="3" t="n">
        <v>4.5</v>
      </c>
      <c r="R10" s="3" t="n">
        <v>9.1</v>
      </c>
      <c r="S10" s="3" t="n">
        <v>21.8</v>
      </c>
      <c r="T10" s="3" t="n">
        <v>2.6</v>
      </c>
      <c r="U10" s="3" t="n">
        <v>13.7</v>
      </c>
      <c r="V10" s="3" t="n">
        <v>15.5</v>
      </c>
      <c r="W10" s="3" t="n">
        <v>4.9</v>
      </c>
      <c r="X10" s="3" t="n">
        <v>11.5</v>
      </c>
      <c r="Y10" s="3" t="n">
        <v>15.2</v>
      </c>
      <c r="Z10" s="3" t="n">
        <v>2.2</v>
      </c>
      <c r="AA10" s="3" t="n">
        <v>13.9</v>
      </c>
      <c r="AB10" s="3" t="n">
        <v>15.3</v>
      </c>
    </row>
    <row r="11" customFormat="false" ht="15" hidden="false" customHeight="false" outlineLevel="0" collapsed="false">
      <c r="A11" s="3" t="s">
        <v>23</v>
      </c>
      <c r="B11" s="3" t="n">
        <f aca="false">SUM(C11:D11)</f>
        <v>3952</v>
      </c>
      <c r="C11" s="3" t="n">
        <v>283</v>
      </c>
      <c r="D11" s="3" t="n">
        <v>3669</v>
      </c>
      <c r="E11" s="3" t="n">
        <v>7.8</v>
      </c>
      <c r="F11" s="3" t="n">
        <v>72.1</v>
      </c>
      <c r="G11" s="3" t="n">
        <v>16.6</v>
      </c>
      <c r="H11" s="3" t="n">
        <v>6.2</v>
      </c>
      <c r="I11" s="3" t="n">
        <v>70.6</v>
      </c>
      <c r="J11" s="3" t="n">
        <v>16.6</v>
      </c>
      <c r="K11" s="3" t="n">
        <v>9.9</v>
      </c>
      <c r="L11" s="3" t="n">
        <v>68.9</v>
      </c>
      <c r="M11" s="3" t="n">
        <v>14.1</v>
      </c>
      <c r="N11" s="3" t="n">
        <v>5.7</v>
      </c>
      <c r="O11" s="3" t="n">
        <v>71.2</v>
      </c>
      <c r="P11" s="3" t="n">
        <v>17</v>
      </c>
      <c r="Q11" s="3" t="n">
        <v>0</v>
      </c>
      <c r="R11" s="3" t="n">
        <v>3.2</v>
      </c>
      <c r="S11" s="3" t="n">
        <v>0.4</v>
      </c>
      <c r="T11" s="3" t="n">
        <v>0.1</v>
      </c>
      <c r="U11" s="3" t="n">
        <v>5.6</v>
      </c>
      <c r="V11" s="3" t="n">
        <v>0.9</v>
      </c>
      <c r="W11" s="3" t="n">
        <v>0</v>
      </c>
      <c r="X11" s="3" t="n">
        <v>5.3</v>
      </c>
      <c r="Y11" s="3" t="n">
        <v>1.8</v>
      </c>
      <c r="Z11" s="3" t="n">
        <v>0.1</v>
      </c>
      <c r="AA11" s="3" t="n">
        <v>5.1</v>
      </c>
      <c r="AB11" s="3" t="n">
        <v>0.9</v>
      </c>
    </row>
    <row r="12" customFormat="false" ht="15" hidden="false" customHeight="false" outlineLevel="0" collapsed="false">
      <c r="A12" s="3" t="s">
        <v>24</v>
      </c>
      <c r="B12" s="3" t="n">
        <f aca="false">SUM(C12:D12)</f>
        <v>6497</v>
      </c>
      <c r="C12" s="3" t="n">
        <v>357</v>
      </c>
      <c r="D12" s="3" t="n">
        <v>6140</v>
      </c>
      <c r="E12" s="3" t="n">
        <v>33.9</v>
      </c>
      <c r="F12" s="3" t="n">
        <v>56.3</v>
      </c>
      <c r="G12" s="3" t="n">
        <v>2.5</v>
      </c>
      <c r="H12" s="3" t="n">
        <v>29.8</v>
      </c>
      <c r="I12" s="3" t="n">
        <v>60.6</v>
      </c>
      <c r="J12" s="3" t="n">
        <v>2.3</v>
      </c>
      <c r="K12" s="3" t="n">
        <v>30.8</v>
      </c>
      <c r="L12" s="3" t="n">
        <v>59.9</v>
      </c>
      <c r="M12" s="3" t="n">
        <v>2.5</v>
      </c>
      <c r="N12" s="3" t="n">
        <v>29.6</v>
      </c>
      <c r="O12" s="3" t="n">
        <v>62.3</v>
      </c>
      <c r="P12" s="3" t="n">
        <v>2</v>
      </c>
      <c r="Q12" s="3" t="n">
        <v>2.8</v>
      </c>
      <c r="R12" s="3" t="n">
        <v>3.4</v>
      </c>
      <c r="S12" s="3" t="n">
        <v>1.1</v>
      </c>
      <c r="T12" s="3" t="n">
        <v>2.4</v>
      </c>
      <c r="U12" s="3" t="n">
        <v>3.4</v>
      </c>
      <c r="V12" s="3" t="n">
        <v>1.5</v>
      </c>
      <c r="W12" s="3" t="n">
        <v>2</v>
      </c>
      <c r="X12" s="3" t="n">
        <v>3.9</v>
      </c>
      <c r="Y12" s="3" t="n">
        <v>0.8</v>
      </c>
      <c r="Z12" s="3" t="n">
        <v>2</v>
      </c>
      <c r="AA12" s="3" t="n">
        <v>2.9</v>
      </c>
      <c r="AB12" s="3" t="n">
        <v>1.2</v>
      </c>
    </row>
    <row r="13" customFormat="false" ht="15" hidden="false" customHeight="false" outlineLevel="0" collapsed="false">
      <c r="A13" s="3" t="s">
        <v>25</v>
      </c>
      <c r="B13" s="3" t="n">
        <f aca="false">SUM(C13:D13)</f>
        <v>4590</v>
      </c>
      <c r="C13" s="3" t="n">
        <v>666</v>
      </c>
      <c r="D13" s="3" t="n">
        <v>3924</v>
      </c>
      <c r="E13" s="3" t="n">
        <v>8</v>
      </c>
      <c r="F13" s="3" t="n">
        <v>69.4</v>
      </c>
      <c r="G13" s="3" t="n">
        <v>11.3</v>
      </c>
      <c r="H13" s="3" t="n">
        <v>7.1</v>
      </c>
      <c r="I13" s="3" t="n">
        <v>67.9</v>
      </c>
      <c r="J13" s="3" t="n">
        <v>12.9</v>
      </c>
      <c r="K13" s="3" t="n">
        <v>9.9</v>
      </c>
      <c r="L13" s="3" t="n">
        <v>64.6</v>
      </c>
      <c r="M13" s="3" t="n">
        <v>12.3</v>
      </c>
      <c r="N13" s="3" t="n">
        <v>7.1</v>
      </c>
      <c r="O13" s="3" t="n">
        <v>68.1</v>
      </c>
      <c r="P13" s="3" t="n">
        <v>13.5</v>
      </c>
      <c r="Q13" s="3" t="n">
        <v>0.2</v>
      </c>
      <c r="R13" s="3" t="n">
        <v>5.4</v>
      </c>
      <c r="S13" s="3" t="n">
        <v>5.9</v>
      </c>
      <c r="T13" s="3" t="n">
        <v>0.2</v>
      </c>
      <c r="U13" s="3" t="n">
        <v>5.4</v>
      </c>
      <c r="V13" s="3" t="n">
        <v>6.5</v>
      </c>
      <c r="W13" s="3" t="n">
        <v>0.8</v>
      </c>
      <c r="X13" s="3" t="n">
        <v>6.2</v>
      </c>
      <c r="Y13" s="3" t="n">
        <v>6.3</v>
      </c>
      <c r="Z13" s="3" t="n">
        <v>0.2</v>
      </c>
      <c r="AA13" s="3" t="n">
        <v>4.9</v>
      </c>
      <c r="AB13" s="3" t="n">
        <v>6.2</v>
      </c>
    </row>
    <row r="14" customFormat="false" ht="15" hidden="false" customHeight="false" outlineLevel="0" collapsed="false">
      <c r="A14" s="3" t="s">
        <v>26</v>
      </c>
      <c r="B14" s="3" t="n">
        <f aca="false">SUM(C14:D14)</f>
        <v>1287</v>
      </c>
      <c r="C14" s="3" t="n">
        <v>120</v>
      </c>
      <c r="D14" s="3" t="n">
        <v>1167</v>
      </c>
      <c r="E14" s="3" t="n">
        <v>6.7</v>
      </c>
      <c r="F14" s="3" t="n">
        <v>58.3</v>
      </c>
      <c r="G14" s="3" t="n">
        <v>26.7</v>
      </c>
      <c r="H14" s="3" t="n">
        <v>9.8</v>
      </c>
      <c r="I14" s="3" t="n">
        <v>56.2</v>
      </c>
      <c r="J14" s="3" t="n">
        <v>27.5</v>
      </c>
      <c r="K14" s="3" t="n">
        <v>8.3</v>
      </c>
      <c r="L14" s="3" t="n">
        <v>60.8</v>
      </c>
      <c r="M14" s="3" t="n">
        <v>25.8</v>
      </c>
      <c r="N14" s="3" t="n">
        <v>9.9</v>
      </c>
      <c r="O14" s="3" t="n">
        <v>56.8</v>
      </c>
      <c r="P14" s="3" t="n">
        <v>27.6</v>
      </c>
      <c r="Q14" s="3" t="n">
        <v>0</v>
      </c>
      <c r="R14" s="3" t="n">
        <v>2.5</v>
      </c>
      <c r="S14" s="3" t="n">
        <v>5.8</v>
      </c>
      <c r="T14" s="3" t="n">
        <v>0.3</v>
      </c>
      <c r="U14" s="3" t="n">
        <v>1.4</v>
      </c>
      <c r="V14" s="3" t="n">
        <v>4.8</v>
      </c>
      <c r="W14" s="3" t="n">
        <v>0</v>
      </c>
      <c r="X14" s="3" t="n">
        <v>0.8</v>
      </c>
      <c r="Y14" s="3" t="n">
        <v>4.2</v>
      </c>
      <c r="Z14" s="3" t="n">
        <v>0.2</v>
      </c>
      <c r="AA14" s="3" t="n">
        <v>1.8</v>
      </c>
      <c r="AB14" s="3" t="n">
        <v>3.8</v>
      </c>
    </row>
    <row r="15" customFormat="false" ht="15" hidden="false" customHeight="false" outlineLevel="0" collapsed="false">
      <c r="A15" s="3" t="s">
        <v>27</v>
      </c>
      <c r="B15" s="3" t="n">
        <f aca="false">SUM(C15:D15)</f>
        <v>2908</v>
      </c>
      <c r="C15" s="3" t="n">
        <v>285</v>
      </c>
      <c r="D15" s="3" t="n">
        <v>2623</v>
      </c>
      <c r="E15" s="3" t="n">
        <v>38.6</v>
      </c>
      <c r="F15" s="3" t="n">
        <v>0.4</v>
      </c>
      <c r="G15" s="3" t="n">
        <v>40</v>
      </c>
      <c r="H15" s="3" t="n">
        <v>43.3</v>
      </c>
      <c r="I15" s="3" t="n">
        <v>0.9</v>
      </c>
      <c r="J15" s="3" t="n">
        <v>34.9</v>
      </c>
      <c r="K15" s="3" t="n">
        <v>40</v>
      </c>
      <c r="L15" s="3" t="n">
        <v>2.1</v>
      </c>
      <c r="M15" s="3" t="n">
        <v>40</v>
      </c>
      <c r="N15" s="3" t="n">
        <v>42.1</v>
      </c>
      <c r="O15" s="3" t="n">
        <v>0.8</v>
      </c>
      <c r="P15" s="3" t="n">
        <v>34.7</v>
      </c>
      <c r="Q15" s="3" t="n">
        <v>6.3</v>
      </c>
      <c r="R15" s="3" t="n">
        <v>9.8</v>
      </c>
      <c r="S15" s="3" t="n">
        <v>4.9</v>
      </c>
      <c r="T15" s="3" t="n">
        <v>5.8</v>
      </c>
      <c r="U15" s="3" t="n">
        <v>9</v>
      </c>
      <c r="V15" s="3" t="n">
        <v>6.1</v>
      </c>
      <c r="W15" s="3" t="n">
        <v>6.3</v>
      </c>
      <c r="X15" s="3" t="n">
        <v>8.4</v>
      </c>
      <c r="Y15" s="3" t="n">
        <v>3.2</v>
      </c>
      <c r="Z15" s="3" t="n">
        <v>6.5</v>
      </c>
      <c r="AA15" s="3" t="n">
        <v>10.2</v>
      </c>
      <c r="AB15" s="3" t="n">
        <v>5.8</v>
      </c>
    </row>
    <row r="16" customFormat="false" ht="15" hidden="false" customHeight="false" outlineLevel="0" collapsed="false">
      <c r="A16" s="3" t="s">
        <v>28</v>
      </c>
      <c r="B16" s="3" t="n">
        <f aca="false">SUM(C16:D16)</f>
        <v>3355</v>
      </c>
      <c r="C16" s="3" t="n">
        <v>307</v>
      </c>
      <c r="D16" s="3" t="n">
        <v>3048</v>
      </c>
      <c r="E16" s="3" t="n">
        <v>46.6</v>
      </c>
      <c r="F16" s="3" t="n">
        <v>0</v>
      </c>
      <c r="G16" s="3" t="n">
        <v>34.9</v>
      </c>
      <c r="H16" s="3" t="n">
        <v>47</v>
      </c>
      <c r="I16" s="3" t="n">
        <v>0</v>
      </c>
      <c r="J16" s="3" t="n">
        <v>36.5</v>
      </c>
      <c r="K16" s="3" t="n">
        <v>44.3</v>
      </c>
      <c r="L16" s="3" t="n">
        <v>0.3</v>
      </c>
      <c r="M16" s="3" t="n">
        <v>36.5</v>
      </c>
      <c r="N16" s="3" t="n">
        <v>45.2</v>
      </c>
      <c r="O16" s="3" t="n">
        <v>0.3</v>
      </c>
      <c r="P16" s="3" t="n">
        <v>36.2</v>
      </c>
      <c r="Q16" s="3" t="n">
        <v>18.6</v>
      </c>
      <c r="R16" s="3" t="n">
        <v>0</v>
      </c>
      <c r="S16" s="3" t="n">
        <v>0</v>
      </c>
      <c r="T16" s="3" t="n">
        <v>16.5</v>
      </c>
      <c r="U16" s="3" t="n">
        <v>0</v>
      </c>
      <c r="V16" s="3" t="n">
        <v>0</v>
      </c>
      <c r="W16" s="3" t="n">
        <v>18.6</v>
      </c>
      <c r="X16" s="3" t="n">
        <v>0.3</v>
      </c>
      <c r="Y16" s="3" t="n">
        <v>0</v>
      </c>
      <c r="Z16" s="3" t="n">
        <v>18.1</v>
      </c>
      <c r="AA16" s="3" t="n">
        <v>0</v>
      </c>
      <c r="AB16" s="3" t="n">
        <v>0.1</v>
      </c>
    </row>
    <row r="17" customFormat="false" ht="15" hidden="false" customHeight="false" outlineLevel="0" collapsed="false">
      <c r="A17" s="3" t="s">
        <v>29</v>
      </c>
      <c r="B17" s="3" t="n">
        <f aca="false">SUM(C17:D17)</f>
        <v>847</v>
      </c>
      <c r="C17" s="3" t="n">
        <v>67</v>
      </c>
      <c r="D17" s="3" t="n">
        <v>780</v>
      </c>
      <c r="E17" s="3" t="n">
        <v>28.4</v>
      </c>
      <c r="F17" s="3" t="n">
        <v>0</v>
      </c>
      <c r="G17" s="3" t="n">
        <v>11.9</v>
      </c>
      <c r="H17" s="3" t="n">
        <v>28.2</v>
      </c>
      <c r="I17" s="3" t="n">
        <v>0.3</v>
      </c>
      <c r="J17" s="3" t="n">
        <v>12.8</v>
      </c>
      <c r="K17" s="3" t="n">
        <v>28.4</v>
      </c>
      <c r="L17" s="3" t="n">
        <v>0</v>
      </c>
      <c r="M17" s="3" t="n">
        <v>19.4</v>
      </c>
      <c r="N17" s="3" t="n">
        <v>27.7</v>
      </c>
      <c r="O17" s="3" t="n">
        <v>0.4</v>
      </c>
      <c r="P17" s="3" t="n">
        <v>13.5</v>
      </c>
      <c r="Q17" s="3" t="n">
        <v>9</v>
      </c>
      <c r="R17" s="3" t="n">
        <v>32.8</v>
      </c>
      <c r="S17" s="3" t="n">
        <v>17.9</v>
      </c>
      <c r="T17" s="3" t="n">
        <v>12.3</v>
      </c>
      <c r="U17" s="3" t="n">
        <v>25.6</v>
      </c>
      <c r="V17" s="3" t="n">
        <v>20.8</v>
      </c>
      <c r="W17" s="3" t="n">
        <v>10.4</v>
      </c>
      <c r="X17" s="3" t="n">
        <v>28.4</v>
      </c>
      <c r="Y17" s="3" t="n">
        <v>13.4</v>
      </c>
      <c r="Z17" s="3" t="n">
        <v>12.4</v>
      </c>
      <c r="AA17" s="3" t="n">
        <v>27.3</v>
      </c>
      <c r="AB17" s="3" t="n">
        <v>18.7</v>
      </c>
    </row>
    <row r="18" customFormat="false" ht="15" hidden="false" customHeight="false" outlineLevel="0" collapsed="false">
      <c r="A18" s="3" t="s">
        <v>30</v>
      </c>
      <c r="B18" s="3" t="n">
        <f aca="false">SUM(C18:D18)</f>
        <v>2633</v>
      </c>
      <c r="C18" s="3" t="n">
        <v>329</v>
      </c>
      <c r="D18" s="3" t="n">
        <v>2304</v>
      </c>
      <c r="E18" s="3" t="n">
        <v>41</v>
      </c>
      <c r="F18" s="3" t="n">
        <v>0.6</v>
      </c>
      <c r="G18" s="3" t="n">
        <v>39.8</v>
      </c>
      <c r="H18" s="3" t="n">
        <v>44.9</v>
      </c>
      <c r="I18" s="3" t="n">
        <v>0.9</v>
      </c>
      <c r="J18" s="3" t="n">
        <v>33.8</v>
      </c>
      <c r="K18" s="3" t="n">
        <v>42.6</v>
      </c>
      <c r="L18" s="3" t="n">
        <v>0.9</v>
      </c>
      <c r="M18" s="3" t="n">
        <v>36.8</v>
      </c>
      <c r="N18" s="3" t="n">
        <v>43.8</v>
      </c>
      <c r="O18" s="3" t="n">
        <v>1</v>
      </c>
      <c r="P18" s="3" t="n">
        <v>33.6</v>
      </c>
      <c r="Q18" s="3" t="n">
        <v>2.1</v>
      </c>
      <c r="R18" s="3" t="n">
        <v>12.8</v>
      </c>
      <c r="S18" s="3" t="n">
        <v>3.6</v>
      </c>
      <c r="T18" s="3" t="n">
        <v>4.9</v>
      </c>
      <c r="U18" s="3" t="n">
        <v>9.4</v>
      </c>
      <c r="V18" s="3" t="n">
        <v>6.2</v>
      </c>
      <c r="W18" s="3" t="n">
        <v>2.7</v>
      </c>
      <c r="X18" s="3" t="n">
        <v>11.2</v>
      </c>
      <c r="Y18" s="3" t="n">
        <v>5.8</v>
      </c>
      <c r="Z18" s="3" t="n">
        <v>5.5</v>
      </c>
      <c r="AA18" s="3" t="n">
        <v>9.9</v>
      </c>
      <c r="AB18" s="3" t="n">
        <v>6.2</v>
      </c>
    </row>
    <row r="19" customFormat="false" ht="15" hidden="false" customHeight="false" outlineLevel="0" collapsed="false">
      <c r="A19" s="3" t="s">
        <v>35</v>
      </c>
      <c r="B19" s="7" t="n">
        <f aca="false">SUM(B5:B18)</f>
        <v>46631</v>
      </c>
      <c r="C19" s="7" t="n">
        <f aca="false">SUM(C5:C18)</f>
        <v>4864</v>
      </c>
      <c r="D19" s="7" t="n">
        <f aca="false">SUM(D5:D18)</f>
        <v>41767</v>
      </c>
      <c r="E19" s="6" t="n">
        <f aca="false">AVERAGE(E5:E18)</f>
        <v>21.9642857142857</v>
      </c>
      <c r="F19" s="6" t="n">
        <f aca="false">AVERAGE(F5:F18)</f>
        <v>32.7</v>
      </c>
      <c r="G19" s="6" t="n">
        <f aca="false">AVERAGE(G5:G18)</f>
        <v>22.7357142857143</v>
      </c>
      <c r="H19" s="6" t="n">
        <f aca="false">AVERAGE(H5:H18)</f>
        <v>22.0071428571429</v>
      </c>
      <c r="I19" s="6" t="n">
        <f aca="false">AVERAGE(I5:I18)</f>
        <v>33.1</v>
      </c>
      <c r="J19" s="6" t="n">
        <f aca="false">AVERAGE(J5:J18)</f>
        <v>22.8571428571429</v>
      </c>
      <c r="K19" s="6" t="n">
        <f aca="false">AVERAGE(K5:K18)</f>
        <v>21.6428571428571</v>
      </c>
      <c r="L19" s="6" t="n">
        <f aca="false">AVERAGE(L5:L18)</f>
        <v>33.1571428571429</v>
      </c>
      <c r="M19" s="6" t="n">
        <f aca="false">AVERAGE(M5:M18)</f>
        <v>23.2214285714286</v>
      </c>
      <c r="N19" s="6" t="n">
        <f aca="false">AVERAGE(N5:N18)</f>
        <v>21.3928571428571</v>
      </c>
      <c r="O19" s="6" t="n">
        <f aca="false">AVERAGE(O5:O18)</f>
        <v>33.4785714285714</v>
      </c>
      <c r="P19" s="6" t="n">
        <f aca="false">AVERAGE(P5:P18)</f>
        <v>23.0642857142857</v>
      </c>
      <c r="Q19" s="6" t="n">
        <f aca="false">AVERAGE(Q5:Q18)</f>
        <v>8.77857142857143</v>
      </c>
      <c r="R19" s="6" t="n">
        <f aca="false">AVERAGE(R5:R18)</f>
        <v>7.67857142857143</v>
      </c>
      <c r="S19" s="6" t="n">
        <f aca="false">AVERAGE(S5:S18)</f>
        <v>6.17142857142857</v>
      </c>
      <c r="T19" s="6" t="n">
        <f aca="false">AVERAGE(T5:T18)</f>
        <v>8.6</v>
      </c>
      <c r="U19" s="6" t="n">
        <f aca="false">AVERAGE(U5:U18)</f>
        <v>7.16428571428571</v>
      </c>
      <c r="V19" s="6" t="n">
        <f aca="false">AVERAGE(V5:V18)</f>
        <v>6.27857142857143</v>
      </c>
      <c r="W19" s="6" t="n">
        <f aca="false">AVERAGE(W5:W18)</f>
        <v>8.95714285714286</v>
      </c>
      <c r="X19" s="6" t="n">
        <f aca="false">AVERAGE(X5:X18)</f>
        <v>7.47142857142857</v>
      </c>
      <c r="Y19" s="6" t="n">
        <f aca="false">AVERAGE(Y5:Y18)</f>
        <v>5.53571428571429</v>
      </c>
      <c r="Z19" s="6" t="n">
        <f aca="false">AVERAGE(Z5:Z18)</f>
        <v>9.02857142857143</v>
      </c>
      <c r="AA19" s="6" t="n">
        <f aca="false">AVERAGE(AA5:AA18)</f>
        <v>7.32142857142857</v>
      </c>
      <c r="AB19" s="6" t="n">
        <f aca="false">AVERAGE(AB5:AB18)</f>
        <v>5.72142857142857</v>
      </c>
    </row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B1:D1"/>
    <mergeCell ref="E1:P1"/>
    <mergeCell ref="Q1:AB1"/>
    <mergeCell ref="E2:J2"/>
    <mergeCell ref="K2:P2"/>
    <mergeCell ref="Q2:V2"/>
    <mergeCell ref="W2:AB2"/>
    <mergeCell ref="E3:G3"/>
    <mergeCell ref="H3:J3"/>
    <mergeCell ref="K3:M3"/>
    <mergeCell ref="N3:P3"/>
    <mergeCell ref="Q3:S3"/>
    <mergeCell ref="T3:V3"/>
    <mergeCell ref="W3:Y3"/>
    <mergeCell ref="Z3:AB3"/>
  </mergeCells>
  <conditionalFormatting sqref="E19:AB1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S17" activeCellId="0" sqref="S17"/>
    </sheetView>
  </sheetViews>
  <sheetFormatPr defaultColWidth="10.78515625" defaultRowHeight="13.2" zeroHeight="false" outlineLevelRow="0" outlineLevelCol="0"/>
  <cols>
    <col collapsed="false" customWidth="false" hidden="false" outlineLevel="0" max="1" min="1" style="10" width="10.77"/>
    <col collapsed="false" customWidth="true" hidden="false" outlineLevel="0" max="9" min="2" style="10" width="7.67"/>
    <col collapsed="false" customWidth="false" hidden="false" outlineLevel="0" max="1014" min="10" style="10" width="10.77"/>
    <col collapsed="false" customWidth="true" hidden="false" outlineLevel="0" max="1015" min="1015" style="9" width="11.57"/>
    <col collapsed="false" customWidth="true" hidden="false" outlineLevel="0" max="1024" min="1016" style="0" width="11.52"/>
  </cols>
  <sheetData>
    <row r="1" s="17" customFormat="true" ht="13.2" hidden="false" customHeight="false" outlineLevel="0" collapsed="false">
      <c r="A1" s="10" t="s">
        <v>36</v>
      </c>
      <c r="B1" s="10" t="s">
        <v>37</v>
      </c>
      <c r="C1" s="10" t="s">
        <v>14</v>
      </c>
      <c r="D1" s="10" t="s">
        <v>11</v>
      </c>
      <c r="E1" s="10" t="s">
        <v>15</v>
      </c>
      <c r="F1" s="10" t="s">
        <v>12</v>
      </c>
      <c r="G1" s="10" t="s">
        <v>16</v>
      </c>
      <c r="H1" s="10" t="s">
        <v>13</v>
      </c>
      <c r="I1" s="10" t="s">
        <v>10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2" hidden="false" customHeight="false" outlineLevel="0" collapsed="false">
      <c r="A2" s="13" t="s">
        <v>17</v>
      </c>
      <c r="B2" s="10" t="s">
        <v>38</v>
      </c>
      <c r="C2" s="8" t="n">
        <v>0</v>
      </c>
      <c r="D2" s="8" t="n">
        <v>54</v>
      </c>
      <c r="E2" s="8" t="n">
        <v>54</v>
      </c>
      <c r="F2" s="8" t="n">
        <v>572</v>
      </c>
      <c r="G2" s="8" t="n">
        <v>62</v>
      </c>
      <c r="H2" s="8" t="n">
        <v>90</v>
      </c>
      <c r="I2" s="8" t="n">
        <f aca="false">SUM(C2:H2)</f>
        <v>832</v>
      </c>
    </row>
    <row r="3" customFormat="false" ht="13.2" hidden="false" customHeight="false" outlineLevel="0" collapsed="false">
      <c r="A3" s="13" t="s">
        <v>17</v>
      </c>
      <c r="B3" s="10" t="s">
        <v>39</v>
      </c>
      <c r="C3" s="8" t="n">
        <v>4</v>
      </c>
      <c r="D3" s="8" t="n">
        <v>41</v>
      </c>
      <c r="E3" s="8" t="n">
        <v>58</v>
      </c>
      <c r="F3" s="8" t="n">
        <v>580</v>
      </c>
      <c r="G3" s="8" t="n">
        <v>61</v>
      </c>
      <c r="H3" s="8" t="n">
        <v>88</v>
      </c>
      <c r="I3" s="8" t="n">
        <f aca="false">SUM(C3:H3)</f>
        <v>832</v>
      </c>
    </row>
    <row r="4" customFormat="false" ht="13.2" hidden="false" customHeight="false" outlineLevel="0" collapsed="false">
      <c r="A4" s="13" t="s">
        <v>21</v>
      </c>
      <c r="B4" s="10" t="s">
        <v>38</v>
      </c>
      <c r="C4" s="8" t="n">
        <v>129</v>
      </c>
      <c r="D4" s="8" t="n">
        <v>80</v>
      </c>
      <c r="E4" s="8" t="n">
        <v>23</v>
      </c>
      <c r="F4" s="8" t="n">
        <v>20</v>
      </c>
      <c r="G4" s="8" t="n">
        <v>16</v>
      </c>
      <c r="H4" s="8" t="n">
        <v>112</v>
      </c>
      <c r="I4" s="8" t="n">
        <f aca="false">SUM(C4:H4)</f>
        <v>380</v>
      </c>
    </row>
    <row r="5" customFormat="false" ht="13.2" hidden="false" customHeight="false" outlineLevel="0" collapsed="false">
      <c r="A5" s="13" t="s">
        <v>21</v>
      </c>
      <c r="B5" s="10" t="s">
        <v>39</v>
      </c>
      <c r="C5" s="8" t="n">
        <v>140</v>
      </c>
      <c r="D5" s="8" t="n">
        <v>72</v>
      </c>
      <c r="E5" s="8" t="n">
        <v>27</v>
      </c>
      <c r="F5" s="8" t="n">
        <v>20</v>
      </c>
      <c r="G5" s="8" t="n">
        <v>22</v>
      </c>
      <c r="H5" s="8" t="n">
        <v>99</v>
      </c>
      <c r="I5" s="8" t="n">
        <f aca="false">SUM(C5:H5)</f>
        <v>380</v>
      </c>
    </row>
    <row r="6" customFormat="false" ht="13.2" hidden="false" customHeight="false" outlineLevel="0" collapsed="false">
      <c r="A6" s="13" t="s">
        <v>20</v>
      </c>
      <c r="B6" s="10" t="s">
        <v>38</v>
      </c>
      <c r="C6" s="8" t="n">
        <v>160</v>
      </c>
      <c r="D6" s="8" t="n">
        <v>61</v>
      </c>
      <c r="E6" s="8" t="n">
        <v>15</v>
      </c>
      <c r="F6" s="8" t="n">
        <v>23</v>
      </c>
      <c r="G6" s="8" t="n">
        <v>9</v>
      </c>
      <c r="H6" s="8" t="n">
        <v>86</v>
      </c>
      <c r="I6" s="8" t="n">
        <f aca="false">SUM(C6:H6)</f>
        <v>354</v>
      </c>
    </row>
    <row r="7" customFormat="false" ht="13.2" hidden="false" customHeight="false" outlineLevel="0" collapsed="false">
      <c r="A7" s="13" t="s">
        <v>20</v>
      </c>
      <c r="B7" s="10" t="s">
        <v>39</v>
      </c>
      <c r="C7" s="8" t="n">
        <v>147</v>
      </c>
      <c r="D7" s="8" t="n">
        <v>63</v>
      </c>
      <c r="E7" s="8" t="n">
        <v>12</v>
      </c>
      <c r="F7" s="8" t="n">
        <v>25</v>
      </c>
      <c r="G7" s="8" t="n">
        <v>12</v>
      </c>
      <c r="H7" s="8" t="n">
        <v>95</v>
      </c>
      <c r="I7" s="8" t="n">
        <f aca="false">SUM(C7:H7)</f>
        <v>354</v>
      </c>
    </row>
    <row r="8" customFormat="false" ht="13.2" hidden="false" customHeight="false" outlineLevel="0" collapsed="false">
      <c r="A8" s="13" t="s">
        <v>19</v>
      </c>
      <c r="B8" s="10" t="s">
        <v>38</v>
      </c>
      <c r="C8" s="8" t="n">
        <v>1</v>
      </c>
      <c r="D8" s="8" t="n">
        <v>52</v>
      </c>
      <c r="E8" s="8" t="n">
        <v>24</v>
      </c>
      <c r="F8" s="8" t="n">
        <v>187</v>
      </c>
      <c r="G8" s="8" t="n">
        <v>26</v>
      </c>
      <c r="H8" s="8" t="n">
        <v>60</v>
      </c>
      <c r="I8" s="8" t="n">
        <f aca="false">SUM(C8:H8)</f>
        <v>350</v>
      </c>
    </row>
    <row r="9" customFormat="false" ht="13.2" hidden="false" customHeight="false" outlineLevel="0" collapsed="false">
      <c r="A9" s="13" t="s">
        <v>19</v>
      </c>
      <c r="B9" s="10" t="s">
        <v>39</v>
      </c>
      <c r="C9" s="8" t="n">
        <v>2</v>
      </c>
      <c r="D9" s="8" t="n">
        <v>57</v>
      </c>
      <c r="E9" s="8" t="n">
        <v>17</v>
      </c>
      <c r="F9" s="8" t="n">
        <v>194</v>
      </c>
      <c r="G9" s="8" t="n">
        <v>18</v>
      </c>
      <c r="H9" s="8" t="n">
        <v>62</v>
      </c>
      <c r="I9" s="8" t="n">
        <f aca="false">SUM(C9:H9)</f>
        <v>350</v>
      </c>
    </row>
    <row r="10" customFormat="false" ht="13.2" hidden="false" customHeight="false" outlineLevel="0" collapsed="false">
      <c r="A10" s="13" t="s">
        <v>18</v>
      </c>
      <c r="B10" s="10" t="s">
        <v>38</v>
      </c>
      <c r="C10" s="8" t="n">
        <v>0</v>
      </c>
      <c r="D10" s="8" t="n">
        <v>52</v>
      </c>
      <c r="E10" s="8" t="n">
        <v>14</v>
      </c>
      <c r="F10" s="8" t="n">
        <v>164</v>
      </c>
      <c r="G10" s="8" t="n">
        <v>10</v>
      </c>
      <c r="H10" s="8" t="n">
        <v>51</v>
      </c>
      <c r="I10" s="8" t="n">
        <f aca="false">SUM(C10:H10)</f>
        <v>291</v>
      </c>
    </row>
    <row r="11" customFormat="false" ht="13.2" hidden="false" customHeight="false" outlineLevel="0" collapsed="false">
      <c r="A11" s="13" t="s">
        <v>18</v>
      </c>
      <c r="B11" s="10" t="s">
        <v>39</v>
      </c>
      <c r="C11" s="8" t="n">
        <v>1</v>
      </c>
      <c r="D11" s="8" t="n">
        <v>35</v>
      </c>
      <c r="E11" s="8" t="n">
        <v>18</v>
      </c>
      <c r="F11" s="8" t="n">
        <v>163</v>
      </c>
      <c r="G11" s="8" t="n">
        <v>15</v>
      </c>
      <c r="H11" s="8" t="n">
        <v>59</v>
      </c>
      <c r="I11" s="8" t="n">
        <f aca="false">SUM(C11:H11)</f>
        <v>291</v>
      </c>
    </row>
    <row r="12" customFormat="false" ht="13.2" hidden="false" customHeight="false" outlineLevel="0" collapsed="false">
      <c r="A12" s="13" t="s">
        <v>22</v>
      </c>
      <c r="B12" s="10" t="s">
        <v>38</v>
      </c>
      <c r="C12" s="8" t="n">
        <v>11</v>
      </c>
      <c r="D12" s="8" t="n">
        <v>46</v>
      </c>
      <c r="E12" s="8" t="n">
        <v>22</v>
      </c>
      <c r="F12" s="8" t="n">
        <v>25</v>
      </c>
      <c r="G12" s="8" t="n">
        <v>53</v>
      </c>
      <c r="H12" s="8" t="n">
        <v>86</v>
      </c>
      <c r="I12" s="8" t="n">
        <f aca="false">SUM(C12:H12)</f>
        <v>243</v>
      </c>
    </row>
    <row r="13" customFormat="false" ht="13.2" hidden="false" customHeight="false" outlineLevel="0" collapsed="false">
      <c r="A13" s="13" t="s">
        <v>22</v>
      </c>
      <c r="B13" s="10" t="s">
        <v>39</v>
      </c>
      <c r="C13" s="8" t="n">
        <v>12</v>
      </c>
      <c r="D13" s="8" t="n">
        <v>46</v>
      </c>
      <c r="E13" s="8" t="n">
        <v>28</v>
      </c>
      <c r="F13" s="8" t="n">
        <v>32</v>
      </c>
      <c r="G13" s="8" t="n">
        <v>37</v>
      </c>
      <c r="H13" s="8" t="n">
        <v>88</v>
      </c>
      <c r="I13" s="8" t="n">
        <f aca="false">SUM(C13:H13)</f>
        <v>243</v>
      </c>
    </row>
    <row r="14" customFormat="false" ht="13.2" hidden="false" customHeight="false" outlineLevel="0" collapsed="false">
      <c r="A14" s="13" t="s">
        <v>23</v>
      </c>
      <c r="B14" s="10" t="s">
        <v>38</v>
      </c>
      <c r="C14" s="8" t="n">
        <v>0</v>
      </c>
      <c r="D14" s="8" t="n">
        <v>22</v>
      </c>
      <c r="E14" s="8" t="n">
        <v>9</v>
      </c>
      <c r="F14" s="8" t="n">
        <v>204</v>
      </c>
      <c r="G14" s="8" t="n">
        <v>1</v>
      </c>
      <c r="H14" s="8" t="n">
        <v>47</v>
      </c>
      <c r="I14" s="8" t="n">
        <f aca="false">SUM(C14:H14)</f>
        <v>283</v>
      </c>
    </row>
    <row r="15" customFormat="false" ht="13.2" hidden="false" customHeight="false" outlineLevel="0" collapsed="false">
      <c r="A15" s="13" t="s">
        <v>23</v>
      </c>
      <c r="B15" s="10" t="s">
        <v>39</v>
      </c>
      <c r="C15" s="8" t="n">
        <v>0</v>
      </c>
      <c r="D15" s="8" t="n">
        <v>28</v>
      </c>
      <c r="E15" s="8" t="n">
        <v>15</v>
      </c>
      <c r="F15" s="8" t="n">
        <v>195</v>
      </c>
      <c r="G15" s="8" t="n">
        <v>5</v>
      </c>
      <c r="H15" s="8" t="n">
        <v>40</v>
      </c>
      <c r="I15" s="8" t="n">
        <f aca="false">SUM(C15:H15)</f>
        <v>283</v>
      </c>
    </row>
    <row r="16" customFormat="false" ht="13.2" hidden="false" customHeight="false" outlineLevel="0" collapsed="false">
      <c r="A16" s="13" t="s">
        <v>24</v>
      </c>
      <c r="B16" s="10" t="s">
        <v>38</v>
      </c>
      <c r="C16" s="8" t="n">
        <v>10</v>
      </c>
      <c r="D16" s="8" t="n">
        <v>121</v>
      </c>
      <c r="E16" s="8" t="n">
        <v>12</v>
      </c>
      <c r="F16" s="8" t="n">
        <v>201</v>
      </c>
      <c r="G16" s="8" t="n">
        <v>4</v>
      </c>
      <c r="H16" s="8" t="n">
        <v>9</v>
      </c>
      <c r="I16" s="8" t="n">
        <f aca="false">SUM(C16:H16)</f>
        <v>357</v>
      </c>
    </row>
    <row r="17" s="17" customFormat="true" ht="13.2" hidden="false" customHeight="false" outlineLevel="0" collapsed="false">
      <c r="A17" s="13" t="s">
        <v>24</v>
      </c>
      <c r="B17" s="10" t="s">
        <v>39</v>
      </c>
      <c r="C17" s="8" t="n">
        <v>7</v>
      </c>
      <c r="D17" s="8" t="n">
        <v>110</v>
      </c>
      <c r="E17" s="8" t="n">
        <v>14</v>
      </c>
      <c r="F17" s="8" t="n">
        <v>214</v>
      </c>
      <c r="G17" s="8" t="n">
        <v>3</v>
      </c>
      <c r="H17" s="8" t="n">
        <v>9</v>
      </c>
      <c r="I17" s="8" t="n">
        <f aca="false">SUM(C17:H17)</f>
        <v>357</v>
      </c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3.2" hidden="false" customHeight="false" outlineLevel="0" collapsed="false">
      <c r="A18" s="13" t="s">
        <v>25</v>
      </c>
      <c r="B18" s="10" t="s">
        <v>38</v>
      </c>
      <c r="C18" s="8" t="n">
        <v>1</v>
      </c>
      <c r="D18" s="8" t="n">
        <v>53</v>
      </c>
      <c r="E18" s="8" t="n">
        <v>36</v>
      </c>
      <c r="F18" s="8" t="n">
        <v>462</v>
      </c>
      <c r="G18" s="8" t="n">
        <v>39</v>
      </c>
      <c r="H18" s="8" t="n">
        <v>75</v>
      </c>
      <c r="I18" s="8" t="n">
        <f aca="false">SUM(C18:H18)</f>
        <v>666</v>
      </c>
    </row>
    <row r="19" customFormat="false" ht="13.2" hidden="false" customHeight="false" outlineLevel="0" collapsed="false">
      <c r="A19" s="13" t="s">
        <v>25</v>
      </c>
      <c r="B19" s="10" t="s">
        <v>39</v>
      </c>
      <c r="C19" s="8" t="n">
        <v>5</v>
      </c>
      <c r="D19" s="8" t="n">
        <v>66</v>
      </c>
      <c r="E19" s="8" t="n">
        <v>41</v>
      </c>
      <c r="F19" s="8" t="n">
        <v>430</v>
      </c>
      <c r="G19" s="8" t="n">
        <v>42</v>
      </c>
      <c r="H19" s="8" t="n">
        <v>82</v>
      </c>
      <c r="I19" s="8" t="n">
        <f aca="false">SUM(C19:H19)</f>
        <v>666</v>
      </c>
    </row>
    <row r="20" customFormat="false" ht="13.2" hidden="false" customHeight="false" outlineLevel="0" collapsed="false">
      <c r="A20" s="13" t="s">
        <v>26</v>
      </c>
      <c r="B20" s="10" t="s">
        <v>38</v>
      </c>
      <c r="C20" s="8" t="n">
        <v>0</v>
      </c>
      <c r="D20" s="8" t="n">
        <v>8</v>
      </c>
      <c r="E20" s="8" t="n">
        <v>3</v>
      </c>
      <c r="F20" s="8" t="n">
        <v>70</v>
      </c>
      <c r="G20" s="8" t="n">
        <v>7</v>
      </c>
      <c r="H20" s="8" t="n">
        <v>32</v>
      </c>
      <c r="I20" s="8" t="n">
        <f aca="false">SUM(C20:H20)</f>
        <v>120</v>
      </c>
    </row>
    <row r="21" customFormat="false" ht="13.2" hidden="false" customHeight="false" outlineLevel="0" collapsed="false">
      <c r="A21" s="13" t="s">
        <v>26</v>
      </c>
      <c r="B21" s="10" t="s">
        <v>39</v>
      </c>
      <c r="C21" s="8" t="n">
        <v>0</v>
      </c>
      <c r="D21" s="8" t="n">
        <v>10</v>
      </c>
      <c r="E21" s="8" t="n">
        <v>1</v>
      </c>
      <c r="F21" s="8" t="n">
        <v>73</v>
      </c>
      <c r="G21" s="8" t="n">
        <v>5</v>
      </c>
      <c r="H21" s="8" t="n">
        <v>31</v>
      </c>
      <c r="I21" s="8" t="n">
        <f aca="false">SUM(C21:H21)</f>
        <v>120</v>
      </c>
    </row>
    <row r="22" customFormat="false" ht="13.2" hidden="false" customHeight="false" outlineLevel="0" collapsed="false">
      <c r="A22" s="13" t="s">
        <v>27</v>
      </c>
      <c r="B22" s="10" t="s">
        <v>38</v>
      </c>
      <c r="C22" s="8" t="n">
        <v>18</v>
      </c>
      <c r="D22" s="8" t="n">
        <v>110</v>
      </c>
      <c r="E22" s="8" t="n">
        <v>28</v>
      </c>
      <c r="F22" s="8" t="n">
        <v>1</v>
      </c>
      <c r="G22" s="8" t="n">
        <v>14</v>
      </c>
      <c r="H22" s="8" t="n">
        <v>114</v>
      </c>
      <c r="I22" s="8" t="n">
        <f aca="false">SUM(C22:H22)</f>
        <v>285</v>
      </c>
    </row>
    <row r="23" customFormat="false" ht="13.2" hidden="false" customHeight="false" outlineLevel="0" collapsed="false">
      <c r="A23" s="13" t="s">
        <v>27</v>
      </c>
      <c r="B23" s="10" t="s">
        <v>39</v>
      </c>
      <c r="C23" s="8" t="n">
        <v>18</v>
      </c>
      <c r="D23" s="8" t="n">
        <v>114</v>
      </c>
      <c r="E23" s="8" t="n">
        <v>24</v>
      </c>
      <c r="F23" s="8" t="n">
        <v>6</v>
      </c>
      <c r="G23" s="8" t="n">
        <v>9</v>
      </c>
      <c r="H23" s="8" t="n">
        <v>114</v>
      </c>
      <c r="I23" s="8" t="n">
        <f aca="false">SUM(C23:H23)</f>
        <v>285</v>
      </c>
    </row>
    <row r="24" customFormat="false" ht="13.2" hidden="false" customHeight="false" outlineLevel="0" collapsed="false">
      <c r="A24" s="13" t="s">
        <v>28</v>
      </c>
      <c r="B24" s="10" t="s">
        <v>38</v>
      </c>
      <c r="C24" s="8" t="n">
        <v>57</v>
      </c>
      <c r="D24" s="8" t="n">
        <v>143</v>
      </c>
      <c r="E24" s="8" t="n">
        <v>0</v>
      </c>
      <c r="F24" s="8" t="n">
        <v>0</v>
      </c>
      <c r="G24" s="8" t="n">
        <v>0</v>
      </c>
      <c r="H24" s="8" t="n">
        <v>107</v>
      </c>
      <c r="I24" s="8" t="n">
        <f aca="false">SUM(C24:H24)</f>
        <v>307</v>
      </c>
    </row>
    <row r="25" customFormat="false" ht="13.2" hidden="false" customHeight="false" outlineLevel="0" collapsed="false">
      <c r="A25" s="13" t="s">
        <v>28</v>
      </c>
      <c r="B25" s="10" t="s">
        <v>39</v>
      </c>
      <c r="C25" s="8" t="n">
        <v>57</v>
      </c>
      <c r="D25" s="8" t="n">
        <v>136</v>
      </c>
      <c r="E25" s="8" t="n">
        <v>1</v>
      </c>
      <c r="F25" s="8" t="n">
        <v>1</v>
      </c>
      <c r="G25" s="8" t="n">
        <v>0</v>
      </c>
      <c r="H25" s="8" t="n">
        <v>112</v>
      </c>
      <c r="I25" s="8" t="n">
        <f aca="false">SUM(C25:H25)</f>
        <v>307</v>
      </c>
    </row>
    <row r="26" customFormat="false" ht="13.2" hidden="false" customHeight="false" outlineLevel="0" collapsed="false">
      <c r="A26" s="13" t="s">
        <v>29</v>
      </c>
      <c r="B26" s="10" t="s">
        <v>38</v>
      </c>
      <c r="C26" s="8" t="n">
        <v>6</v>
      </c>
      <c r="D26" s="8" t="n">
        <v>19</v>
      </c>
      <c r="E26" s="8" t="n">
        <v>22</v>
      </c>
      <c r="F26" s="8" t="n">
        <v>0</v>
      </c>
      <c r="G26" s="8" t="n">
        <v>12</v>
      </c>
      <c r="H26" s="8" t="n">
        <v>8</v>
      </c>
      <c r="I26" s="8" t="n">
        <f aca="false">SUM(C26:H26)</f>
        <v>67</v>
      </c>
    </row>
    <row r="27" customFormat="false" ht="13.2" hidden="false" customHeight="false" outlineLevel="0" collapsed="false">
      <c r="A27" s="13" t="s">
        <v>29</v>
      </c>
      <c r="B27" s="10" t="s">
        <v>39</v>
      </c>
      <c r="C27" s="8" t="n">
        <v>7</v>
      </c>
      <c r="D27" s="8" t="n">
        <v>19</v>
      </c>
      <c r="E27" s="8" t="n">
        <v>19</v>
      </c>
      <c r="F27" s="8" t="n">
        <v>0</v>
      </c>
      <c r="G27" s="8" t="n">
        <v>9</v>
      </c>
      <c r="H27" s="8" t="n">
        <v>13</v>
      </c>
      <c r="I27" s="8" t="n">
        <f aca="false">SUM(C27:H27)</f>
        <v>67</v>
      </c>
    </row>
    <row r="28" customFormat="false" ht="13.2" hidden="false" customHeight="false" outlineLevel="0" collapsed="false">
      <c r="A28" s="13" t="s">
        <v>30</v>
      </c>
      <c r="B28" s="10" t="s">
        <v>38</v>
      </c>
      <c r="C28" s="8" t="n">
        <v>7</v>
      </c>
      <c r="D28" s="8" t="n">
        <v>135</v>
      </c>
      <c r="E28" s="8" t="n">
        <v>42</v>
      </c>
      <c r="F28" s="8" t="n">
        <v>2</v>
      </c>
      <c r="G28" s="8" t="n">
        <v>12</v>
      </c>
      <c r="H28" s="8" t="n">
        <v>131</v>
      </c>
      <c r="I28" s="8" t="n">
        <f aca="false">SUM(C28:H28)</f>
        <v>329</v>
      </c>
    </row>
    <row r="29" customFormat="false" ht="13.2" hidden="false" customHeight="false" outlineLevel="0" collapsed="false">
      <c r="A29" s="13" t="s">
        <v>30</v>
      </c>
      <c r="B29" s="10" t="s">
        <v>39</v>
      </c>
      <c r="C29" s="8" t="n">
        <v>9</v>
      </c>
      <c r="D29" s="8" t="n">
        <v>140</v>
      </c>
      <c r="E29" s="8" t="n">
        <v>37</v>
      </c>
      <c r="F29" s="8" t="n">
        <v>3</v>
      </c>
      <c r="G29" s="8" t="n">
        <v>19</v>
      </c>
      <c r="H29" s="8" t="n">
        <v>121</v>
      </c>
      <c r="I29" s="8" t="n">
        <f aca="false">SUM(C29:H29)</f>
        <v>329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8" activeCellId="0" sqref="K18"/>
    </sheetView>
  </sheetViews>
  <sheetFormatPr defaultColWidth="10.78515625" defaultRowHeight="13.2" zeroHeight="false" outlineLevelRow="0" outlineLevelCol="0"/>
  <cols>
    <col collapsed="false" customWidth="false" hidden="false" outlineLevel="0" max="1" min="1" style="10" width="10.77"/>
    <col collapsed="false" customWidth="true" hidden="false" outlineLevel="0" max="9" min="2" style="10" width="7.67"/>
    <col collapsed="false" customWidth="false" hidden="false" outlineLevel="0" max="1014" min="10" style="10" width="10.77"/>
    <col collapsed="false" customWidth="true" hidden="false" outlineLevel="0" max="1015" min="1015" style="9" width="11.57"/>
    <col collapsed="false" customWidth="true" hidden="false" outlineLevel="0" max="1024" min="1016" style="0" width="11.52"/>
  </cols>
  <sheetData>
    <row r="1" customFormat="false" ht="13.2" hidden="false" customHeight="false" outlineLevel="0" collapsed="false">
      <c r="A1" s="10" t="s">
        <v>36</v>
      </c>
      <c r="B1" s="10" t="s">
        <v>37</v>
      </c>
      <c r="C1" s="10" t="s">
        <v>14</v>
      </c>
      <c r="D1" s="10" t="s">
        <v>11</v>
      </c>
      <c r="E1" s="10" t="s">
        <v>15</v>
      </c>
      <c r="F1" s="10" t="s">
        <v>12</v>
      </c>
      <c r="G1" s="10" t="s">
        <v>16</v>
      </c>
      <c r="H1" s="10" t="s">
        <v>13</v>
      </c>
      <c r="I1" s="10" t="s">
        <v>10</v>
      </c>
    </row>
    <row r="2" customFormat="false" ht="13.2" hidden="false" customHeight="false" outlineLevel="0" collapsed="false">
      <c r="A2" s="13" t="s">
        <v>17</v>
      </c>
      <c r="B2" s="10" t="s">
        <v>38</v>
      </c>
      <c r="C2" s="8" t="n">
        <v>3</v>
      </c>
      <c r="D2" s="8" t="n">
        <v>227</v>
      </c>
      <c r="E2" s="8" t="n">
        <v>201</v>
      </c>
      <c r="F2" s="8" t="n">
        <v>2416</v>
      </c>
      <c r="G2" s="8" t="n">
        <v>245</v>
      </c>
      <c r="H2" s="8" t="n">
        <v>348</v>
      </c>
      <c r="I2" s="8" t="n">
        <f aca="false">SUM(C2:H2)</f>
        <v>3440</v>
      </c>
    </row>
    <row r="3" customFormat="false" ht="13.2" hidden="false" customHeight="false" outlineLevel="0" collapsed="false">
      <c r="A3" s="13" t="s">
        <v>17</v>
      </c>
      <c r="B3" s="10" t="s">
        <v>39</v>
      </c>
      <c r="C3" s="8" t="n">
        <v>14</v>
      </c>
      <c r="D3" s="8" t="n">
        <v>235</v>
      </c>
      <c r="E3" s="8" t="n">
        <v>209</v>
      </c>
      <c r="F3" s="8" t="n">
        <v>2454</v>
      </c>
      <c r="G3" s="8" t="n">
        <v>182</v>
      </c>
      <c r="H3" s="8" t="n">
        <v>346</v>
      </c>
      <c r="I3" s="8" t="n">
        <f aca="false">SUM(C3:H3)</f>
        <v>3440</v>
      </c>
    </row>
    <row r="4" customFormat="false" ht="13.2" hidden="false" customHeight="false" outlineLevel="0" collapsed="false">
      <c r="A4" s="13" t="s">
        <v>21</v>
      </c>
      <c r="B4" s="10" t="s">
        <v>38</v>
      </c>
      <c r="C4" s="8" t="n">
        <v>802</v>
      </c>
      <c r="D4" s="8" t="n">
        <v>408</v>
      </c>
      <c r="E4" s="8" t="n">
        <v>191</v>
      </c>
      <c r="F4" s="8" t="n">
        <v>133</v>
      </c>
      <c r="G4" s="8" t="n">
        <v>148</v>
      </c>
      <c r="H4" s="8" t="n">
        <v>869</v>
      </c>
      <c r="I4" s="8" t="n">
        <f aca="false">SUM(C4:H4)</f>
        <v>2551</v>
      </c>
    </row>
    <row r="5" customFormat="false" ht="13.2" hidden="false" customHeight="false" outlineLevel="0" collapsed="false">
      <c r="A5" s="13" t="s">
        <v>21</v>
      </c>
      <c r="B5" s="10" t="s">
        <v>39</v>
      </c>
      <c r="C5" s="8" t="n">
        <v>816</v>
      </c>
      <c r="D5" s="8" t="n">
        <v>395</v>
      </c>
      <c r="E5" s="8" t="n">
        <v>199</v>
      </c>
      <c r="F5" s="8" t="n">
        <v>139</v>
      </c>
      <c r="G5" s="8" t="n">
        <v>150</v>
      </c>
      <c r="H5" s="8" t="n">
        <v>852</v>
      </c>
      <c r="I5" s="8" t="n">
        <f aca="false">SUM(C5:H5)</f>
        <v>2551</v>
      </c>
    </row>
    <row r="6" customFormat="false" ht="13.2" hidden="false" customHeight="false" outlineLevel="0" collapsed="false">
      <c r="A6" s="13" t="s">
        <v>20</v>
      </c>
      <c r="B6" s="10" t="s">
        <v>38</v>
      </c>
      <c r="C6" s="8" t="n">
        <v>1583</v>
      </c>
      <c r="D6" s="8" t="n">
        <v>562</v>
      </c>
      <c r="E6" s="8" t="n">
        <v>137</v>
      </c>
      <c r="F6" s="8" t="n">
        <v>265</v>
      </c>
      <c r="G6" s="8" t="n">
        <v>82</v>
      </c>
      <c r="H6" s="8" t="n">
        <v>1014</v>
      </c>
      <c r="I6" s="8" t="n">
        <f aca="false">SUM(C6:H6)</f>
        <v>3643</v>
      </c>
    </row>
    <row r="7" customFormat="false" ht="13.2" hidden="false" customHeight="false" outlineLevel="0" collapsed="false">
      <c r="A7" s="13" t="s">
        <v>20</v>
      </c>
      <c r="B7" s="10" t="s">
        <v>39</v>
      </c>
      <c r="C7" s="8" t="n">
        <v>1679</v>
      </c>
      <c r="D7" s="8" t="n">
        <v>541</v>
      </c>
      <c r="E7" s="8" t="n">
        <v>121</v>
      </c>
      <c r="F7" s="8" t="n">
        <v>229</v>
      </c>
      <c r="G7" s="8" t="n">
        <v>81</v>
      </c>
      <c r="H7" s="8" t="n">
        <v>992</v>
      </c>
      <c r="I7" s="8" t="n">
        <f aca="false">SUM(C7:H7)</f>
        <v>3643</v>
      </c>
    </row>
    <row r="8" customFormat="false" ht="13.2" hidden="false" customHeight="false" outlineLevel="0" collapsed="false">
      <c r="A8" s="13" t="s">
        <v>19</v>
      </c>
      <c r="B8" s="10" t="s">
        <v>38</v>
      </c>
      <c r="C8" s="8" t="n">
        <v>7</v>
      </c>
      <c r="D8" s="8" t="n">
        <v>678</v>
      </c>
      <c r="E8" s="8" t="n">
        <v>243</v>
      </c>
      <c r="F8" s="8" t="n">
        <v>2790</v>
      </c>
      <c r="G8" s="8" t="n">
        <v>265</v>
      </c>
      <c r="H8" s="8" t="n">
        <v>800</v>
      </c>
      <c r="I8" s="8" t="n">
        <f aca="false">SUM(C8:H8)</f>
        <v>4783</v>
      </c>
    </row>
    <row r="9" customFormat="false" ht="13.2" hidden="false" customHeight="false" outlineLevel="0" collapsed="false">
      <c r="A9" s="13" t="s">
        <v>19</v>
      </c>
      <c r="B9" s="10" t="s">
        <v>39</v>
      </c>
      <c r="C9" s="8" t="n">
        <v>10</v>
      </c>
      <c r="D9" s="8" t="n">
        <v>649</v>
      </c>
      <c r="E9" s="8" t="n">
        <v>226</v>
      </c>
      <c r="F9" s="8" t="n">
        <v>2860</v>
      </c>
      <c r="G9" s="8" t="n">
        <v>224</v>
      </c>
      <c r="H9" s="8" t="n">
        <v>814</v>
      </c>
      <c r="I9" s="8" t="n">
        <f aca="false">SUM(C9:H9)</f>
        <v>4783</v>
      </c>
    </row>
    <row r="10" customFormat="false" ht="13.2" hidden="false" customHeight="false" outlineLevel="0" collapsed="false">
      <c r="A10" s="13" t="s">
        <v>18</v>
      </c>
      <c r="B10" s="10" t="s">
        <v>38</v>
      </c>
      <c r="C10" s="8" t="n">
        <v>4</v>
      </c>
      <c r="D10" s="8" t="n">
        <v>334</v>
      </c>
      <c r="E10" s="8" t="n">
        <v>105</v>
      </c>
      <c r="F10" s="8" t="n">
        <v>1282</v>
      </c>
      <c r="G10" s="8" t="n">
        <v>110</v>
      </c>
      <c r="H10" s="8" t="n">
        <v>424</v>
      </c>
      <c r="I10" s="8" t="n">
        <f aca="false">SUM(C10:H10)</f>
        <v>2259</v>
      </c>
    </row>
    <row r="11" customFormat="false" ht="13.2" hidden="false" customHeight="false" outlineLevel="0" collapsed="false">
      <c r="A11" s="13" t="s">
        <v>18</v>
      </c>
      <c r="B11" s="10" t="s">
        <v>39</v>
      </c>
      <c r="C11" s="8" t="n">
        <v>12</v>
      </c>
      <c r="D11" s="8" t="n">
        <v>334</v>
      </c>
      <c r="E11" s="8" t="n">
        <v>105</v>
      </c>
      <c r="F11" s="8" t="n">
        <v>1278</v>
      </c>
      <c r="G11" s="8" t="n">
        <v>85</v>
      </c>
      <c r="H11" s="8" t="n">
        <v>445</v>
      </c>
      <c r="I11" s="8" t="n">
        <f aca="false">SUM(C11:H11)</f>
        <v>2259</v>
      </c>
    </row>
    <row r="12" customFormat="false" ht="13.2" hidden="false" customHeight="false" outlineLevel="0" collapsed="false">
      <c r="A12" s="13" t="s">
        <v>22</v>
      </c>
      <c r="B12" s="10" t="s">
        <v>38</v>
      </c>
      <c r="C12" s="8" t="n">
        <v>38</v>
      </c>
      <c r="D12" s="8" t="n">
        <v>356</v>
      </c>
      <c r="E12" s="8" t="n">
        <v>197</v>
      </c>
      <c r="F12" s="8" t="n">
        <v>118</v>
      </c>
      <c r="G12" s="8" t="n">
        <v>222</v>
      </c>
      <c r="H12" s="8" t="n">
        <v>505</v>
      </c>
      <c r="I12" s="8" t="n">
        <f aca="false">SUM(C12:H12)</f>
        <v>1436</v>
      </c>
    </row>
    <row r="13" customFormat="false" ht="13.2" hidden="false" customHeight="false" outlineLevel="0" collapsed="false">
      <c r="A13" s="13" t="s">
        <v>22</v>
      </c>
      <c r="B13" s="10" t="s">
        <v>39</v>
      </c>
      <c r="C13" s="8" t="n">
        <v>32</v>
      </c>
      <c r="D13" s="8" t="n">
        <v>327</v>
      </c>
      <c r="E13" s="8" t="n">
        <v>199</v>
      </c>
      <c r="F13" s="8" t="n">
        <v>121</v>
      </c>
      <c r="G13" s="8" t="n">
        <v>220</v>
      </c>
      <c r="H13" s="8" t="n">
        <v>537</v>
      </c>
      <c r="I13" s="8" t="n">
        <f aca="false">SUM(C13:H13)</f>
        <v>1436</v>
      </c>
    </row>
    <row r="14" customFormat="false" ht="13.2" hidden="false" customHeight="false" outlineLevel="0" collapsed="false">
      <c r="A14" s="13" t="s">
        <v>23</v>
      </c>
      <c r="B14" s="10" t="s">
        <v>38</v>
      </c>
      <c r="C14" s="8" t="n">
        <v>2</v>
      </c>
      <c r="D14" s="8" t="n">
        <v>226</v>
      </c>
      <c r="E14" s="8" t="n">
        <v>207</v>
      </c>
      <c r="F14" s="8" t="n">
        <v>2590</v>
      </c>
      <c r="G14" s="8" t="n">
        <v>34</v>
      </c>
      <c r="H14" s="8" t="n">
        <v>610</v>
      </c>
      <c r="I14" s="8" t="n">
        <f aca="false">SUM(C14:H14)</f>
        <v>3669</v>
      </c>
    </row>
    <row r="15" customFormat="false" ht="13.2" hidden="false" customHeight="false" outlineLevel="0" collapsed="false">
      <c r="A15" s="13" t="s">
        <v>23</v>
      </c>
      <c r="B15" s="10" t="s">
        <v>39</v>
      </c>
      <c r="C15" s="8" t="n">
        <v>4</v>
      </c>
      <c r="D15" s="8" t="n">
        <v>210</v>
      </c>
      <c r="E15" s="8" t="n">
        <v>187</v>
      </c>
      <c r="F15" s="8" t="n">
        <v>2611</v>
      </c>
      <c r="G15" s="8" t="n">
        <v>32</v>
      </c>
      <c r="H15" s="8" t="n">
        <v>625</v>
      </c>
      <c r="I15" s="8" t="n">
        <f aca="false">SUM(C15:H15)</f>
        <v>3669</v>
      </c>
    </row>
    <row r="16" customFormat="false" ht="13.2" hidden="false" customHeight="false" outlineLevel="0" collapsed="false">
      <c r="A16" s="13" t="s">
        <v>24</v>
      </c>
      <c r="B16" s="10" t="s">
        <v>38</v>
      </c>
      <c r="C16" s="8" t="n">
        <v>149</v>
      </c>
      <c r="D16" s="8" t="n">
        <v>1831</v>
      </c>
      <c r="E16" s="8" t="n">
        <v>210</v>
      </c>
      <c r="F16" s="8" t="n">
        <v>3719</v>
      </c>
      <c r="G16" s="8" t="n">
        <v>90</v>
      </c>
      <c r="H16" s="8" t="n">
        <v>141</v>
      </c>
      <c r="I16" s="8" t="n">
        <f aca="false">SUM(C16:H16)</f>
        <v>6140</v>
      </c>
    </row>
    <row r="17" customFormat="false" ht="13.2" hidden="false" customHeight="false" outlineLevel="0" collapsed="false">
      <c r="A17" s="13" t="s">
        <v>24</v>
      </c>
      <c r="B17" s="10" t="s">
        <v>39</v>
      </c>
      <c r="C17" s="8" t="n">
        <v>125</v>
      </c>
      <c r="D17" s="8" t="n">
        <v>1815</v>
      </c>
      <c r="E17" s="8" t="n">
        <v>178</v>
      </c>
      <c r="F17" s="8" t="n">
        <v>3823</v>
      </c>
      <c r="G17" s="8" t="n">
        <v>74</v>
      </c>
      <c r="H17" s="8" t="n">
        <v>125</v>
      </c>
      <c r="I17" s="8" t="n">
        <f aca="false">SUM(C17:H17)</f>
        <v>6140</v>
      </c>
    </row>
    <row r="18" customFormat="false" ht="13.2" hidden="false" customHeight="false" outlineLevel="0" collapsed="false">
      <c r="A18" s="13" t="s">
        <v>25</v>
      </c>
      <c r="B18" s="10" t="s">
        <v>38</v>
      </c>
      <c r="C18" s="8" t="n">
        <v>6</v>
      </c>
      <c r="D18" s="8" t="n">
        <v>277</v>
      </c>
      <c r="E18" s="8" t="n">
        <v>210</v>
      </c>
      <c r="F18" s="8" t="n">
        <v>2666</v>
      </c>
      <c r="G18" s="8" t="n">
        <v>257</v>
      </c>
      <c r="H18" s="8" t="n">
        <v>508</v>
      </c>
      <c r="I18" s="8" t="n">
        <f aca="false">SUM(C18:H18)</f>
        <v>3924</v>
      </c>
    </row>
    <row r="19" customFormat="false" ht="13.2" hidden="false" customHeight="false" outlineLevel="0" collapsed="false">
      <c r="A19" s="13" t="s">
        <v>25</v>
      </c>
      <c r="B19" s="10" t="s">
        <v>39</v>
      </c>
      <c r="C19" s="8" t="n">
        <v>7</v>
      </c>
      <c r="D19" s="8" t="n">
        <v>280</v>
      </c>
      <c r="E19" s="8" t="n">
        <v>191</v>
      </c>
      <c r="F19" s="8" t="n">
        <v>2673</v>
      </c>
      <c r="G19" s="8" t="n">
        <v>243</v>
      </c>
      <c r="H19" s="8" t="n">
        <v>530</v>
      </c>
      <c r="I19" s="8" t="n">
        <f aca="false">SUM(C19:H19)</f>
        <v>3924</v>
      </c>
    </row>
    <row r="20" customFormat="false" ht="13.2" hidden="false" customHeight="false" outlineLevel="0" collapsed="false">
      <c r="A20" s="13" t="s">
        <v>26</v>
      </c>
      <c r="B20" s="10" t="s">
        <v>38</v>
      </c>
      <c r="C20" s="8" t="n">
        <v>4</v>
      </c>
      <c r="D20" s="8" t="n">
        <v>114</v>
      </c>
      <c r="E20" s="8" t="n">
        <v>16</v>
      </c>
      <c r="F20" s="8" t="n">
        <v>656</v>
      </c>
      <c r="G20" s="8" t="n">
        <v>56</v>
      </c>
      <c r="H20" s="8" t="n">
        <v>321</v>
      </c>
      <c r="I20" s="8" t="n">
        <f aca="false">SUM(C20:H20)</f>
        <v>1167</v>
      </c>
      <c r="J20" s="8"/>
    </row>
    <row r="21" customFormat="false" ht="13.2" hidden="false" customHeight="false" outlineLevel="0" collapsed="false">
      <c r="A21" s="13" t="s">
        <v>26</v>
      </c>
      <c r="B21" s="10" t="s">
        <v>39</v>
      </c>
      <c r="C21" s="8" t="n">
        <v>2</v>
      </c>
      <c r="D21" s="8" t="n">
        <v>115</v>
      </c>
      <c r="E21" s="8" t="n">
        <v>21</v>
      </c>
      <c r="F21" s="8" t="n">
        <v>663</v>
      </c>
      <c r="G21" s="8" t="n">
        <v>44</v>
      </c>
      <c r="H21" s="8" t="n">
        <v>322</v>
      </c>
      <c r="I21" s="8" t="n">
        <f aca="false">SUM(C21:H21)</f>
        <v>1167</v>
      </c>
      <c r="J21" s="8"/>
    </row>
    <row r="22" customFormat="false" ht="13.2" hidden="false" customHeight="false" outlineLevel="0" collapsed="false">
      <c r="A22" s="13" t="s">
        <v>27</v>
      </c>
      <c r="B22" s="10" t="s">
        <v>38</v>
      </c>
      <c r="C22" s="8" t="n">
        <v>152</v>
      </c>
      <c r="D22" s="8" t="n">
        <v>1135</v>
      </c>
      <c r="E22" s="8" t="n">
        <v>237</v>
      </c>
      <c r="F22" s="8" t="n">
        <v>24</v>
      </c>
      <c r="G22" s="8" t="n">
        <v>160</v>
      </c>
      <c r="H22" s="8" t="n">
        <v>915</v>
      </c>
      <c r="I22" s="8" t="n">
        <f aca="false">SUM(C22:H22)</f>
        <v>2623</v>
      </c>
    </row>
    <row r="23" customFormat="false" ht="13.2" hidden="false" customHeight="false" outlineLevel="0" collapsed="false">
      <c r="A23" s="13" t="s">
        <v>27</v>
      </c>
      <c r="B23" s="10" t="s">
        <v>39</v>
      </c>
      <c r="C23" s="8" t="n">
        <v>171</v>
      </c>
      <c r="D23" s="8" t="n">
        <v>1103</v>
      </c>
      <c r="E23" s="8" t="n">
        <v>267</v>
      </c>
      <c r="F23" s="8" t="n">
        <v>20</v>
      </c>
      <c r="G23" s="8" t="n">
        <v>153</v>
      </c>
      <c r="H23" s="8" t="n">
        <v>909</v>
      </c>
      <c r="I23" s="8" t="n">
        <f aca="false">SUM(C23:H23)</f>
        <v>2623</v>
      </c>
    </row>
    <row r="24" customFormat="false" ht="13.2" hidden="false" customHeight="false" outlineLevel="0" collapsed="false">
      <c r="A24" s="13" t="s">
        <v>28</v>
      </c>
      <c r="B24" s="10" t="s">
        <v>38</v>
      </c>
      <c r="C24" s="8" t="n">
        <v>503</v>
      </c>
      <c r="D24" s="8" t="n">
        <v>1433</v>
      </c>
      <c r="E24" s="8" t="n">
        <v>0</v>
      </c>
      <c r="F24" s="8" t="n">
        <v>0</v>
      </c>
      <c r="G24" s="8" t="n">
        <v>0</v>
      </c>
      <c r="H24" s="8" t="n">
        <v>1112</v>
      </c>
      <c r="I24" s="8" t="n">
        <f aca="false">SUM(C24:H24)</f>
        <v>3048</v>
      </c>
    </row>
    <row r="25" customFormat="false" ht="13.2" hidden="false" customHeight="false" outlineLevel="0" collapsed="false">
      <c r="A25" s="13" t="s">
        <v>28</v>
      </c>
      <c r="B25" s="10" t="s">
        <v>39</v>
      </c>
      <c r="C25" s="8" t="n">
        <v>553</v>
      </c>
      <c r="D25" s="8" t="n">
        <v>1377</v>
      </c>
      <c r="E25" s="8" t="n">
        <v>1</v>
      </c>
      <c r="F25" s="8" t="n">
        <v>10</v>
      </c>
      <c r="G25" s="8" t="n">
        <v>4</v>
      </c>
      <c r="H25" s="8" t="n">
        <v>1103</v>
      </c>
      <c r="I25" s="8" t="n">
        <f aca="false">SUM(C25:H25)</f>
        <v>3048</v>
      </c>
    </row>
    <row r="26" customFormat="false" ht="13.2" hidden="false" customHeight="false" outlineLevel="0" collapsed="false">
      <c r="A26" s="13" t="s">
        <v>29</v>
      </c>
      <c r="B26" s="10" t="s">
        <v>38</v>
      </c>
      <c r="C26" s="8" t="n">
        <v>96</v>
      </c>
      <c r="D26" s="8" t="n">
        <v>220</v>
      </c>
      <c r="E26" s="8" t="n">
        <v>200</v>
      </c>
      <c r="F26" s="8" t="n">
        <v>2</v>
      </c>
      <c r="G26" s="8" t="n">
        <v>162</v>
      </c>
      <c r="H26" s="8" t="n">
        <v>100</v>
      </c>
      <c r="I26" s="8" t="n">
        <f aca="false">SUM(C26:H26)</f>
        <v>780</v>
      </c>
    </row>
    <row r="27" customFormat="false" ht="13.2" hidden="false" customHeight="false" outlineLevel="0" collapsed="false">
      <c r="A27" s="13" t="s">
        <v>29</v>
      </c>
      <c r="B27" s="10" t="s">
        <v>39</v>
      </c>
      <c r="C27" s="8" t="n">
        <v>97</v>
      </c>
      <c r="D27" s="8" t="n">
        <v>216</v>
      </c>
      <c r="E27" s="8" t="n">
        <v>213</v>
      </c>
      <c r="F27" s="8" t="n">
        <v>3</v>
      </c>
      <c r="G27" s="8" t="n">
        <v>146</v>
      </c>
      <c r="H27" s="8" t="n">
        <v>105</v>
      </c>
      <c r="I27" s="8" t="n">
        <f aca="false">SUM(C27:H27)</f>
        <v>780</v>
      </c>
    </row>
    <row r="28" customFormat="false" ht="13.2" hidden="false" customHeight="false" outlineLevel="0" collapsed="false">
      <c r="A28" s="13" t="s">
        <v>30</v>
      </c>
      <c r="B28" s="10" t="s">
        <v>38</v>
      </c>
      <c r="C28" s="8" t="n">
        <v>112</v>
      </c>
      <c r="D28" s="8" t="n">
        <v>1034</v>
      </c>
      <c r="E28" s="8" t="n">
        <v>216</v>
      </c>
      <c r="F28" s="8" t="n">
        <v>20</v>
      </c>
      <c r="G28" s="8" t="n">
        <v>143</v>
      </c>
      <c r="H28" s="8" t="n">
        <v>779</v>
      </c>
      <c r="I28" s="8" t="n">
        <f aca="false">SUM(C28:H28)</f>
        <v>2304</v>
      </c>
    </row>
    <row r="29" customFormat="false" ht="13.2" hidden="false" customHeight="false" outlineLevel="0" collapsed="false">
      <c r="A29" s="13" t="s">
        <v>30</v>
      </c>
      <c r="B29" s="10" t="s">
        <v>39</v>
      </c>
      <c r="C29" s="8" t="n">
        <v>127</v>
      </c>
      <c r="D29" s="8" t="n">
        <v>1010</v>
      </c>
      <c r="E29" s="8" t="n">
        <v>228</v>
      </c>
      <c r="F29" s="8" t="n">
        <v>22</v>
      </c>
      <c r="G29" s="8" t="n">
        <v>143</v>
      </c>
      <c r="H29" s="8" t="n">
        <v>774</v>
      </c>
      <c r="I29" s="8" t="n">
        <f aca="false">SUM(C29:H29)</f>
        <v>2304</v>
      </c>
    </row>
    <row r="30" customFormat="false" ht="13.2" hidden="false" customHeight="false" outlineLevel="0" collapsed="false">
      <c r="B30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11.578125" defaultRowHeight="15" zeroHeight="false" outlineLevelRow="0" outlineLevelCol="0"/>
  <cols>
    <col collapsed="false" customWidth="true" hidden="false" outlineLevel="0" max="1" min="1" style="3" width="12.64"/>
    <col collapsed="false" customWidth="true" hidden="false" outlineLevel="0" max="28" min="2" style="3" width="7.67"/>
    <col collapsed="false" customWidth="false" hidden="false" outlineLevel="0" max="1008" min="29" style="3" width="11.57"/>
    <col collapsed="false" customWidth="false" hidden="false" outlineLevel="0" max="1014" min="1009" style="18" width="11.57"/>
    <col collapsed="false" customWidth="false" hidden="false" outlineLevel="0" max="1024" min="1015" style="18" width="11.52"/>
  </cols>
  <sheetData>
    <row r="1" customFormat="false" ht="15" hidden="false" customHeight="true" outlineLevel="0" collapsed="false">
      <c r="A1" s="3" t="s">
        <v>40</v>
      </c>
      <c r="B1" s="4" t="s">
        <v>1</v>
      </c>
      <c r="C1" s="4"/>
      <c r="D1" s="4"/>
      <c r="E1" s="4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4</v>
      </c>
      <c r="B2" s="4"/>
      <c r="C2" s="4"/>
      <c r="D2" s="4"/>
      <c r="E2" s="4" t="s">
        <v>5</v>
      </c>
      <c r="F2" s="4"/>
      <c r="G2" s="4"/>
      <c r="H2" s="4"/>
      <c r="I2" s="4"/>
      <c r="J2" s="4"/>
      <c r="K2" s="4" t="s">
        <v>6</v>
      </c>
      <c r="L2" s="4"/>
      <c r="M2" s="4"/>
      <c r="N2" s="4"/>
      <c r="O2" s="4"/>
      <c r="P2" s="4"/>
      <c r="Q2" s="4" t="s">
        <v>5</v>
      </c>
      <c r="R2" s="4"/>
      <c r="S2" s="4"/>
      <c r="T2" s="4"/>
      <c r="U2" s="4"/>
      <c r="V2" s="4"/>
      <c r="W2" s="4" t="s">
        <v>6</v>
      </c>
      <c r="X2" s="4"/>
      <c r="Y2" s="4"/>
      <c r="Z2" s="4"/>
      <c r="AA2" s="4"/>
      <c r="AB2" s="4"/>
    </row>
    <row r="3" customFormat="false" ht="15" hidden="false" customHeight="false" outlineLevel="0" collapsed="false">
      <c r="A3" s="5" t="s">
        <v>4</v>
      </c>
      <c r="B3" s="4"/>
      <c r="C3" s="4"/>
      <c r="D3" s="4"/>
      <c r="E3" s="4" t="s">
        <v>7</v>
      </c>
      <c r="F3" s="4"/>
      <c r="G3" s="4"/>
      <c r="H3" s="4" t="s">
        <v>8</v>
      </c>
      <c r="I3" s="4"/>
      <c r="J3" s="4"/>
      <c r="K3" s="4" t="s">
        <v>7</v>
      </c>
      <c r="L3" s="4"/>
      <c r="M3" s="4"/>
      <c r="N3" s="4" t="s">
        <v>8</v>
      </c>
      <c r="O3" s="4"/>
      <c r="P3" s="4"/>
      <c r="Q3" s="4" t="s">
        <v>7</v>
      </c>
      <c r="R3" s="4"/>
      <c r="S3" s="4"/>
      <c r="T3" s="4" t="s">
        <v>8</v>
      </c>
      <c r="U3" s="4"/>
      <c r="V3" s="4"/>
      <c r="W3" s="4" t="s">
        <v>7</v>
      </c>
      <c r="X3" s="4"/>
      <c r="Y3" s="4"/>
      <c r="Z3" s="4" t="s">
        <v>8</v>
      </c>
      <c r="AA3" s="4"/>
      <c r="AB3" s="4"/>
    </row>
    <row r="4" customFormat="false" ht="15" hidden="false" customHeight="false" outlineLevel="0" collapsed="false">
      <c r="A4" s="5" t="s">
        <v>9</v>
      </c>
      <c r="B4" s="3" t="s">
        <v>10</v>
      </c>
      <c r="C4" s="3" t="s">
        <v>7</v>
      </c>
      <c r="D4" s="3" t="s">
        <v>8</v>
      </c>
      <c r="E4" s="3" t="s">
        <v>11</v>
      </c>
      <c r="F4" s="3" t="s">
        <v>12</v>
      </c>
      <c r="G4" s="3" t="s">
        <v>13</v>
      </c>
      <c r="H4" s="3" t="s">
        <v>11</v>
      </c>
      <c r="I4" s="3" t="s">
        <v>12</v>
      </c>
      <c r="J4" s="3" t="s">
        <v>13</v>
      </c>
      <c r="K4" s="3" t="s">
        <v>11</v>
      </c>
      <c r="L4" s="3" t="s">
        <v>12</v>
      </c>
      <c r="M4" s="3" t="s">
        <v>13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14</v>
      </c>
      <c r="U4" s="3" t="s">
        <v>15</v>
      </c>
      <c r="V4" s="3" t="s">
        <v>16</v>
      </c>
      <c r="W4" s="3" t="s">
        <v>14</v>
      </c>
      <c r="X4" s="3" t="s">
        <v>15</v>
      </c>
      <c r="Y4" s="3" t="s">
        <v>16</v>
      </c>
      <c r="Z4" s="3" t="s">
        <v>14</v>
      </c>
      <c r="AA4" s="3" t="s">
        <v>15</v>
      </c>
      <c r="AB4" s="3" t="s">
        <v>16</v>
      </c>
    </row>
    <row r="5" customFormat="false" ht="15" hidden="false" customHeight="false" outlineLevel="0" collapsed="false">
      <c r="A5" s="3" t="s">
        <v>17</v>
      </c>
      <c r="B5" s="3" t="n">
        <f aca="false">SUM(C5:D5)</f>
        <v>4272</v>
      </c>
      <c r="C5" s="3" t="n">
        <v>832</v>
      </c>
      <c r="D5" s="3" t="n">
        <v>3440</v>
      </c>
      <c r="E5" s="3" t="n">
        <v>21.5</v>
      </c>
      <c r="F5" s="3" t="n">
        <v>40.6</v>
      </c>
      <c r="G5" s="3" t="n">
        <v>24.6</v>
      </c>
      <c r="H5" s="3" t="n">
        <v>22.2</v>
      </c>
      <c r="I5" s="3" t="n">
        <v>41.2</v>
      </c>
      <c r="J5" s="3" t="n">
        <v>23.1</v>
      </c>
      <c r="K5" s="3" t="n">
        <v>20.4</v>
      </c>
      <c r="L5" s="3" t="n">
        <v>40.5</v>
      </c>
      <c r="M5" s="3" t="n">
        <v>26.7</v>
      </c>
      <c r="N5" s="3" t="n">
        <v>22.9</v>
      </c>
      <c r="O5" s="3" t="n">
        <v>42.1</v>
      </c>
      <c r="P5" s="3" t="n">
        <v>23.1</v>
      </c>
      <c r="Q5" s="3" t="n">
        <v>1.1</v>
      </c>
      <c r="R5" s="3" t="n">
        <v>5</v>
      </c>
      <c r="S5" s="3" t="n">
        <v>7.1</v>
      </c>
      <c r="T5" s="3" t="n">
        <v>1</v>
      </c>
      <c r="U5" s="3" t="n">
        <v>6</v>
      </c>
      <c r="V5" s="3" t="n">
        <v>6.5</v>
      </c>
      <c r="W5" s="3" t="n">
        <v>0.5</v>
      </c>
      <c r="X5" s="3" t="n">
        <v>5</v>
      </c>
      <c r="Y5" s="3" t="n">
        <v>6.9</v>
      </c>
      <c r="Z5" s="3" t="n">
        <v>1</v>
      </c>
      <c r="AA5" s="3" t="n">
        <v>5.4</v>
      </c>
      <c r="AB5" s="3" t="n">
        <v>5.4</v>
      </c>
    </row>
    <row r="6" customFormat="false" ht="15" hidden="false" customHeight="false" outlineLevel="0" collapsed="false">
      <c r="A6" s="3" t="s">
        <v>25</v>
      </c>
      <c r="B6" s="3" t="n">
        <f aca="false">SUM(C6:D6)</f>
        <v>4590</v>
      </c>
      <c r="C6" s="3" t="n">
        <v>666</v>
      </c>
      <c r="D6" s="3" t="n">
        <v>3924</v>
      </c>
      <c r="E6" s="3" t="n">
        <v>10.2</v>
      </c>
      <c r="F6" s="3" t="n">
        <v>66.1</v>
      </c>
      <c r="G6" s="3" t="n">
        <v>12</v>
      </c>
      <c r="H6" s="3" t="n">
        <v>11.2</v>
      </c>
      <c r="I6" s="3" t="n">
        <v>66.2</v>
      </c>
      <c r="J6" s="3" t="n">
        <v>11.7</v>
      </c>
      <c r="K6" s="3" t="n">
        <v>12.2</v>
      </c>
      <c r="L6" s="3" t="n">
        <v>63.8</v>
      </c>
      <c r="M6" s="3" t="n">
        <v>12.2</v>
      </c>
      <c r="N6" s="3" t="n">
        <v>12</v>
      </c>
      <c r="O6" s="3" t="n">
        <v>66.7</v>
      </c>
      <c r="P6" s="3" t="n">
        <v>10.3</v>
      </c>
      <c r="Q6" s="3" t="n">
        <v>0.6</v>
      </c>
      <c r="R6" s="3" t="n">
        <v>5.4</v>
      </c>
      <c r="S6" s="3" t="n">
        <v>5.7</v>
      </c>
      <c r="T6" s="3" t="n">
        <v>0.2</v>
      </c>
      <c r="U6" s="3" t="n">
        <v>4.8</v>
      </c>
      <c r="V6" s="3" t="n">
        <v>5.8</v>
      </c>
      <c r="W6" s="3" t="n">
        <v>0.2</v>
      </c>
      <c r="X6" s="3" t="n">
        <v>6.5</v>
      </c>
      <c r="Y6" s="3" t="n">
        <v>5.3</v>
      </c>
      <c r="Z6" s="3" t="n">
        <v>0.3</v>
      </c>
      <c r="AA6" s="3" t="n">
        <v>5.5</v>
      </c>
      <c r="AB6" s="3" t="n">
        <v>5.2</v>
      </c>
    </row>
    <row r="7" customFormat="false" ht="15" hidden="false" customHeight="false" outlineLevel="0" collapsed="false">
      <c r="A7" s="3" t="s">
        <v>20</v>
      </c>
      <c r="B7" s="3" t="n">
        <f aca="false">SUM(C7:D7)</f>
        <v>5133</v>
      </c>
      <c r="C7" s="3" t="n">
        <v>350</v>
      </c>
      <c r="D7" s="3" t="n">
        <v>4783</v>
      </c>
      <c r="E7" s="3" t="n">
        <v>18.6</v>
      </c>
      <c r="F7" s="3" t="n">
        <v>14.6</v>
      </c>
      <c r="G7" s="3" t="n">
        <v>23.4</v>
      </c>
      <c r="H7" s="3" t="n">
        <v>20.9</v>
      </c>
      <c r="I7" s="3" t="n">
        <v>11.3</v>
      </c>
      <c r="J7" s="3" t="n">
        <v>24.9</v>
      </c>
      <c r="K7" s="3" t="n">
        <v>22.6</v>
      </c>
      <c r="L7" s="3" t="n">
        <v>7.7</v>
      </c>
      <c r="M7" s="3" t="n">
        <v>27.4</v>
      </c>
      <c r="N7" s="3" t="n">
        <v>20.7</v>
      </c>
      <c r="O7" s="3" t="n">
        <v>10.4</v>
      </c>
      <c r="P7" s="3" t="n">
        <v>23.8</v>
      </c>
      <c r="Q7" s="3" t="n">
        <v>31.7</v>
      </c>
      <c r="R7" s="3" t="n">
        <v>4.3</v>
      </c>
      <c r="S7" s="3" t="n">
        <v>7.4</v>
      </c>
      <c r="T7" s="3" t="n">
        <v>33.4</v>
      </c>
      <c r="U7" s="3" t="n">
        <v>5</v>
      </c>
      <c r="V7" s="3" t="n">
        <v>4.5</v>
      </c>
      <c r="W7" s="3" t="n">
        <v>34</v>
      </c>
      <c r="X7" s="3" t="n">
        <v>4.3</v>
      </c>
      <c r="Y7" s="3" t="n">
        <v>4</v>
      </c>
      <c r="Z7" s="3" t="n">
        <v>36.4</v>
      </c>
      <c r="AA7" s="3" t="n">
        <v>5.1</v>
      </c>
      <c r="AB7" s="3" t="n">
        <v>3.6</v>
      </c>
    </row>
    <row r="8" customFormat="false" ht="15" hidden="false" customHeight="false" outlineLevel="0" collapsed="false">
      <c r="A8" s="3" t="s">
        <v>21</v>
      </c>
      <c r="B8" s="3" t="n">
        <f aca="false">SUM(C8:D8)</f>
        <v>2550</v>
      </c>
      <c r="C8" s="3" t="n">
        <v>291</v>
      </c>
      <c r="D8" s="3" t="n">
        <v>2259</v>
      </c>
      <c r="E8" s="3" t="n">
        <v>26.8</v>
      </c>
      <c r="F8" s="3" t="n">
        <v>7.6</v>
      </c>
      <c r="G8" s="3" t="n">
        <v>24.4</v>
      </c>
      <c r="H8" s="3" t="n">
        <v>25.8</v>
      </c>
      <c r="I8" s="3" t="n">
        <v>7</v>
      </c>
      <c r="J8" s="3" t="n">
        <v>28.7</v>
      </c>
      <c r="K8" s="3" t="n">
        <v>25.4</v>
      </c>
      <c r="L8" s="3" t="n">
        <v>8.9</v>
      </c>
      <c r="M8" s="3" t="n">
        <v>23</v>
      </c>
      <c r="N8" s="3" t="n">
        <v>23.2</v>
      </c>
      <c r="O8" s="3" t="n">
        <v>7.2</v>
      </c>
      <c r="P8" s="3" t="n">
        <v>28.5</v>
      </c>
      <c r="Q8" s="3" t="n">
        <v>29.2</v>
      </c>
      <c r="R8" s="3" t="n">
        <v>5.2</v>
      </c>
      <c r="S8" s="3" t="n">
        <v>6.9</v>
      </c>
      <c r="T8" s="3" t="n">
        <v>24.9</v>
      </c>
      <c r="U8" s="3" t="n">
        <v>7</v>
      </c>
      <c r="V8" s="3" t="n">
        <v>6.6</v>
      </c>
      <c r="W8" s="3" t="n">
        <v>25.8</v>
      </c>
      <c r="X8" s="3" t="n">
        <v>10.3</v>
      </c>
      <c r="Y8" s="3" t="n">
        <v>6.5</v>
      </c>
      <c r="Z8" s="3" t="n">
        <v>26.3</v>
      </c>
      <c r="AA8" s="3" t="n">
        <v>7.3</v>
      </c>
      <c r="AB8" s="3" t="n">
        <v>7.5</v>
      </c>
    </row>
    <row r="9" customFormat="false" ht="15" hidden="false" customHeight="false" outlineLevel="0" collapsed="false">
      <c r="A9" s="3" t="s">
        <v>26</v>
      </c>
      <c r="B9" s="3" t="n">
        <f aca="false">SUM(C9:D9)</f>
        <v>1287</v>
      </c>
      <c r="C9" s="3" t="n">
        <v>120</v>
      </c>
      <c r="D9" s="3" t="n">
        <v>1167</v>
      </c>
      <c r="E9" s="3" t="n">
        <v>30.8</v>
      </c>
      <c r="F9" s="3" t="n">
        <v>16.7</v>
      </c>
      <c r="G9" s="3" t="n">
        <v>32.5</v>
      </c>
      <c r="H9" s="3" t="n">
        <v>30.6</v>
      </c>
      <c r="I9" s="3" t="n">
        <v>13.2</v>
      </c>
      <c r="J9" s="3" t="n">
        <v>35.1</v>
      </c>
      <c r="K9" s="3" t="n">
        <v>30.8</v>
      </c>
      <c r="L9" s="3" t="n">
        <v>12.5</v>
      </c>
      <c r="M9" s="3" t="n">
        <v>31.7</v>
      </c>
      <c r="N9" s="3" t="n">
        <v>27.8</v>
      </c>
      <c r="O9" s="3" t="n">
        <v>14.4</v>
      </c>
      <c r="P9" s="3" t="n">
        <v>37.1</v>
      </c>
      <c r="Q9" s="3" t="n">
        <v>0</v>
      </c>
      <c r="R9" s="3" t="n">
        <v>13.3</v>
      </c>
      <c r="S9" s="3" t="n">
        <v>6.7</v>
      </c>
      <c r="T9" s="3" t="n">
        <v>2.1</v>
      </c>
      <c r="U9" s="3" t="n">
        <v>10.1</v>
      </c>
      <c r="V9" s="3" t="n">
        <v>8.9</v>
      </c>
      <c r="W9" s="3" t="n">
        <v>3.3</v>
      </c>
      <c r="X9" s="3" t="n">
        <v>11.7</v>
      </c>
      <c r="Y9" s="3" t="n">
        <v>10</v>
      </c>
      <c r="Z9" s="3" t="n">
        <v>1.1</v>
      </c>
      <c r="AA9" s="3" t="n">
        <v>11.1</v>
      </c>
      <c r="AB9" s="3" t="n">
        <v>8.5</v>
      </c>
    </row>
    <row r="10" customFormat="false" ht="15" hidden="false" customHeight="false" outlineLevel="0" collapsed="false">
      <c r="A10" s="3" t="s">
        <v>10</v>
      </c>
      <c r="B10" s="3" t="n">
        <f aca="false">SUM(B5:B9)</f>
        <v>17832</v>
      </c>
      <c r="C10" s="3" t="n">
        <f aca="false">SUM(C5:C9)</f>
        <v>2259</v>
      </c>
      <c r="D10" s="3" t="n">
        <f aca="false">SUM(D5:D9)</f>
        <v>15573</v>
      </c>
      <c r="E10" s="6" t="n">
        <f aca="false">AVERAGE(E5:E9)</f>
        <v>21.58</v>
      </c>
      <c r="F10" s="6" t="n">
        <f aca="false">AVERAGE(F5:F9)</f>
        <v>29.12</v>
      </c>
      <c r="G10" s="6" t="n">
        <f aca="false">AVERAGE(G5:G9)</f>
        <v>23.38</v>
      </c>
      <c r="H10" s="6" t="n">
        <f aca="false">AVERAGE(H5:H9)</f>
        <v>22.14</v>
      </c>
      <c r="I10" s="6" t="n">
        <f aca="false">AVERAGE(I5:I9)</f>
        <v>27.78</v>
      </c>
      <c r="J10" s="6" t="n">
        <f aca="false">AVERAGE(J5:J9)</f>
        <v>24.7</v>
      </c>
      <c r="K10" s="6" t="n">
        <f aca="false">AVERAGE(K5:K9)</f>
        <v>22.28</v>
      </c>
      <c r="L10" s="6" t="n">
        <f aca="false">AVERAGE(L5:L9)</f>
        <v>26.68</v>
      </c>
      <c r="M10" s="6" t="n">
        <f aca="false">AVERAGE(M5:M9)</f>
        <v>24.2</v>
      </c>
      <c r="N10" s="6" t="n">
        <f aca="false">AVERAGE(N5:N9)</f>
        <v>21.32</v>
      </c>
      <c r="O10" s="6" t="n">
        <f aca="false">AVERAGE(O5:O9)</f>
        <v>28.16</v>
      </c>
      <c r="P10" s="6" t="n">
        <f aca="false">AVERAGE(P5:P9)</f>
        <v>24.56</v>
      </c>
      <c r="Q10" s="6" t="n">
        <f aca="false">AVERAGE(Q5:Q9)</f>
        <v>12.52</v>
      </c>
      <c r="R10" s="6" t="n">
        <f aca="false">AVERAGE(R5:R9)</f>
        <v>6.64</v>
      </c>
      <c r="S10" s="6" t="n">
        <f aca="false">AVERAGE(S5:S9)</f>
        <v>6.76</v>
      </c>
      <c r="T10" s="6" t="n">
        <f aca="false">AVERAGE(T5:T9)</f>
        <v>12.32</v>
      </c>
      <c r="U10" s="6" t="n">
        <f aca="false">AVERAGE(U5:U9)</f>
        <v>6.58</v>
      </c>
      <c r="V10" s="6" t="n">
        <f aca="false">AVERAGE(V5:V9)</f>
        <v>6.46</v>
      </c>
      <c r="W10" s="6" t="n">
        <f aca="false">AVERAGE(W5:W9)</f>
        <v>12.76</v>
      </c>
      <c r="X10" s="6" t="n">
        <f aca="false">AVERAGE(X5:X9)</f>
        <v>7.56</v>
      </c>
      <c r="Y10" s="6" t="n">
        <f aca="false">AVERAGE(Y5:Y9)</f>
        <v>6.54</v>
      </c>
      <c r="Z10" s="6" t="n">
        <f aca="false">AVERAGE(Z5:Z9)</f>
        <v>13.02</v>
      </c>
      <c r="AA10" s="6" t="n">
        <f aca="false">AVERAGE(AA5:AA9)</f>
        <v>6.88</v>
      </c>
      <c r="AB10" s="6" t="n">
        <f aca="false">AVERAGE(AB5:AB9)</f>
        <v>6.04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B1:D1"/>
    <mergeCell ref="E1:P1"/>
    <mergeCell ref="Q1:AB1"/>
    <mergeCell ref="E2:J2"/>
    <mergeCell ref="K2:P2"/>
    <mergeCell ref="Q2:V2"/>
    <mergeCell ref="W2:AB2"/>
    <mergeCell ref="E3:G3"/>
    <mergeCell ref="H3:J3"/>
    <mergeCell ref="K3:M3"/>
    <mergeCell ref="N3:P3"/>
    <mergeCell ref="Q3:S3"/>
    <mergeCell ref="T3:V3"/>
    <mergeCell ref="W3:Y3"/>
    <mergeCell ref="Z3:AB3"/>
  </mergeCells>
  <conditionalFormatting sqref="E10:AB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0.78515625" defaultRowHeight="13.8" zeroHeight="false" outlineLevelRow="0" outlineLevelCol="0"/>
  <cols>
    <col collapsed="false" customWidth="false" hidden="false" outlineLevel="0" max="1" min="1" style="19" width="10.77"/>
    <col collapsed="false" customWidth="true" hidden="false" outlineLevel="0" max="9" min="2" style="19" width="7.67"/>
    <col collapsed="false" customWidth="false" hidden="false" outlineLevel="0" max="1014" min="10" style="19" width="10.77"/>
    <col collapsed="false" customWidth="true" hidden="false" outlineLevel="0" max="1015" min="1015" style="20" width="11.57"/>
    <col collapsed="false" customWidth="true" hidden="false" outlineLevel="0" max="1024" min="1016" style="0" width="11.52"/>
  </cols>
  <sheetData>
    <row r="1" customFormat="false" ht="13.8" hidden="false" customHeight="false" outlineLevel="0" collapsed="false">
      <c r="A1" s="19" t="s">
        <v>36</v>
      </c>
      <c r="B1" s="19" t="s">
        <v>37</v>
      </c>
      <c r="C1" s="19" t="s">
        <v>14</v>
      </c>
      <c r="D1" s="19" t="s">
        <v>11</v>
      </c>
      <c r="E1" s="19" t="s">
        <v>15</v>
      </c>
      <c r="F1" s="19" t="s">
        <v>12</v>
      </c>
      <c r="G1" s="19" t="s">
        <v>16</v>
      </c>
      <c r="H1" s="19" t="s">
        <v>13</v>
      </c>
      <c r="I1" s="19" t="s">
        <v>10</v>
      </c>
    </row>
    <row r="2" customFormat="false" ht="13.8" hidden="false" customHeight="false" outlineLevel="0" collapsed="false">
      <c r="A2" s="13" t="s">
        <v>17</v>
      </c>
      <c r="B2" s="19" t="s">
        <v>38</v>
      </c>
      <c r="C2" s="21" t="n">
        <v>9</v>
      </c>
      <c r="D2" s="21" t="n">
        <v>179</v>
      </c>
      <c r="E2" s="21" t="n">
        <v>42</v>
      </c>
      <c r="F2" s="21" t="n">
        <v>338</v>
      </c>
      <c r="G2" s="21" t="n">
        <v>59</v>
      </c>
      <c r="H2" s="21" t="n">
        <v>205</v>
      </c>
      <c r="I2" s="22" t="n">
        <f aca="false">SUM(C2:H2)</f>
        <v>832</v>
      </c>
    </row>
    <row r="3" customFormat="false" ht="13.8" hidden="false" customHeight="false" outlineLevel="0" collapsed="false">
      <c r="A3" s="13" t="s">
        <v>17</v>
      </c>
      <c r="B3" s="19" t="s">
        <v>39</v>
      </c>
      <c r="C3" s="21" t="n">
        <v>4</v>
      </c>
      <c r="D3" s="21" t="n">
        <v>170</v>
      </c>
      <c r="E3" s="21" t="n">
        <v>42</v>
      </c>
      <c r="F3" s="21" t="n">
        <v>337</v>
      </c>
      <c r="G3" s="21" t="n">
        <v>57</v>
      </c>
      <c r="H3" s="21" t="n">
        <v>222</v>
      </c>
      <c r="I3" s="22" t="n">
        <f aca="false">SUM(C3:H3)</f>
        <v>832</v>
      </c>
    </row>
    <row r="4" customFormat="false" ht="13.8" hidden="false" customHeight="false" outlineLevel="0" collapsed="false">
      <c r="A4" s="13" t="s">
        <v>20</v>
      </c>
      <c r="B4" s="19" t="s">
        <v>38</v>
      </c>
      <c r="C4" s="21" t="n">
        <v>111</v>
      </c>
      <c r="D4" s="21" t="n">
        <v>65</v>
      </c>
      <c r="E4" s="21" t="n">
        <v>15</v>
      </c>
      <c r="F4" s="21" t="n">
        <v>51</v>
      </c>
      <c r="G4" s="21" t="n">
        <v>26</v>
      </c>
      <c r="H4" s="21" t="n">
        <v>82</v>
      </c>
      <c r="I4" s="22" t="n">
        <f aca="false">SUM(C4:H4)</f>
        <v>350</v>
      </c>
    </row>
    <row r="5" customFormat="false" ht="13.8" hidden="false" customHeight="false" outlineLevel="0" collapsed="false">
      <c r="A5" s="13" t="s">
        <v>20</v>
      </c>
      <c r="B5" s="19" t="s">
        <v>39</v>
      </c>
      <c r="C5" s="21" t="n">
        <v>119</v>
      </c>
      <c r="D5" s="21" t="n">
        <v>79</v>
      </c>
      <c r="E5" s="21" t="n">
        <v>15</v>
      </c>
      <c r="F5" s="21" t="n">
        <v>27</v>
      </c>
      <c r="G5" s="21" t="n">
        <v>14</v>
      </c>
      <c r="H5" s="21" t="n">
        <v>96</v>
      </c>
      <c r="I5" s="22" t="n">
        <f aca="false">SUM(C5:H5)</f>
        <v>350</v>
      </c>
    </row>
    <row r="6" customFormat="false" ht="13.8" hidden="false" customHeight="false" outlineLevel="0" collapsed="false">
      <c r="A6" s="13" t="s">
        <v>21</v>
      </c>
      <c r="B6" s="19" t="s">
        <v>38</v>
      </c>
      <c r="C6" s="21" t="n">
        <v>85</v>
      </c>
      <c r="D6" s="21" t="n">
        <v>78</v>
      </c>
      <c r="E6" s="21" t="n">
        <v>15</v>
      </c>
      <c r="F6" s="21" t="n">
        <v>22</v>
      </c>
      <c r="G6" s="21" t="n">
        <v>20</v>
      </c>
      <c r="H6" s="21" t="n">
        <v>71</v>
      </c>
      <c r="I6" s="22" t="n">
        <f aca="false">SUM(C6:H6)</f>
        <v>291</v>
      </c>
    </row>
    <row r="7" customFormat="false" ht="13.8" hidden="false" customHeight="false" outlineLevel="0" collapsed="false">
      <c r="A7" s="13" t="s">
        <v>21</v>
      </c>
      <c r="B7" s="19" t="s">
        <v>39</v>
      </c>
      <c r="C7" s="21" t="n">
        <v>75</v>
      </c>
      <c r="D7" s="21" t="n">
        <v>74</v>
      </c>
      <c r="E7" s="21" t="n">
        <v>30</v>
      </c>
      <c r="F7" s="21" t="n">
        <v>26</v>
      </c>
      <c r="G7" s="21" t="n">
        <v>19</v>
      </c>
      <c r="H7" s="21" t="n">
        <v>67</v>
      </c>
      <c r="I7" s="22" t="n">
        <f aca="false">SUM(C7:H7)</f>
        <v>291</v>
      </c>
    </row>
    <row r="8" customFormat="false" ht="13.8" hidden="false" customHeight="false" outlineLevel="0" collapsed="false">
      <c r="A8" s="13" t="s">
        <v>25</v>
      </c>
      <c r="B8" s="19" t="s">
        <v>38</v>
      </c>
      <c r="C8" s="21" t="n">
        <v>4</v>
      </c>
      <c r="D8" s="21" t="n">
        <v>68</v>
      </c>
      <c r="E8" s="21" t="n">
        <v>36</v>
      </c>
      <c r="F8" s="21" t="n">
        <v>440</v>
      </c>
      <c r="G8" s="21" t="n">
        <v>38</v>
      </c>
      <c r="H8" s="21" t="n">
        <v>80</v>
      </c>
      <c r="I8" s="22" t="n">
        <f aca="false">SUM(C8:H8)</f>
        <v>666</v>
      </c>
    </row>
    <row r="9" customFormat="false" ht="13.8" hidden="false" customHeight="false" outlineLevel="0" collapsed="false">
      <c r="A9" s="13" t="s">
        <v>25</v>
      </c>
      <c r="B9" s="19" t="s">
        <v>39</v>
      </c>
      <c r="C9" s="21" t="n">
        <v>1</v>
      </c>
      <c r="D9" s="21" t="n">
        <v>81</v>
      </c>
      <c r="E9" s="21" t="n">
        <v>43</v>
      </c>
      <c r="F9" s="21" t="n">
        <v>425</v>
      </c>
      <c r="G9" s="21" t="n">
        <v>35</v>
      </c>
      <c r="H9" s="21" t="n">
        <v>81</v>
      </c>
      <c r="I9" s="22" t="n">
        <f aca="false">SUM(C9:H9)</f>
        <v>666</v>
      </c>
    </row>
    <row r="10" customFormat="false" ht="13.8" hidden="false" customHeight="false" outlineLevel="0" collapsed="false">
      <c r="A10" s="13" t="s">
        <v>26</v>
      </c>
      <c r="B10" s="19" t="s">
        <v>38</v>
      </c>
      <c r="C10" s="21" t="n">
        <v>0</v>
      </c>
      <c r="D10" s="21" t="n">
        <v>37</v>
      </c>
      <c r="E10" s="21" t="n">
        <v>16</v>
      </c>
      <c r="F10" s="21" t="n">
        <v>20</v>
      </c>
      <c r="G10" s="21" t="n">
        <v>8</v>
      </c>
      <c r="H10" s="21" t="n">
        <v>39</v>
      </c>
      <c r="I10" s="22" t="n">
        <f aca="false">SUM(C10:H10)</f>
        <v>120</v>
      </c>
    </row>
    <row r="11" customFormat="false" ht="13.8" hidden="false" customHeight="false" outlineLevel="0" collapsed="false">
      <c r="A11" s="13" t="s">
        <v>26</v>
      </c>
      <c r="B11" s="19" t="s">
        <v>39</v>
      </c>
      <c r="C11" s="21" t="n">
        <v>4</v>
      </c>
      <c r="D11" s="21" t="n">
        <v>37</v>
      </c>
      <c r="E11" s="21" t="n">
        <v>14</v>
      </c>
      <c r="F11" s="21" t="n">
        <v>15</v>
      </c>
      <c r="G11" s="21" t="n">
        <v>12</v>
      </c>
      <c r="H11" s="21" t="n">
        <v>38</v>
      </c>
      <c r="I11" s="22" t="n">
        <f aca="false">SUM(C11:H11)</f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M8" activeCellId="0" sqref="M8"/>
    </sheetView>
  </sheetViews>
  <sheetFormatPr defaultColWidth="10.78515625" defaultRowHeight="13.8" zeroHeight="false" outlineLevelRow="0" outlineLevelCol="0"/>
  <cols>
    <col collapsed="false" customWidth="false" hidden="false" outlineLevel="0" max="1" min="1" style="19" width="10.77"/>
    <col collapsed="false" customWidth="true" hidden="false" outlineLevel="0" max="9" min="2" style="19" width="7.67"/>
    <col collapsed="false" customWidth="false" hidden="false" outlineLevel="0" max="1014" min="10" style="19" width="10.77"/>
    <col collapsed="false" customWidth="true" hidden="false" outlineLevel="0" max="1015" min="1015" style="9" width="11.57"/>
    <col collapsed="false" customWidth="true" hidden="false" outlineLevel="0" max="1024" min="1016" style="0" width="11.52"/>
  </cols>
  <sheetData>
    <row r="1" s="23" customFormat="true" ht="13.8" hidden="false" customHeight="false" outlineLevel="0" collapsed="false">
      <c r="A1" s="19" t="s">
        <v>36</v>
      </c>
      <c r="B1" s="19" t="s">
        <v>37</v>
      </c>
      <c r="C1" s="19" t="s">
        <v>14</v>
      </c>
      <c r="D1" s="19" t="s">
        <v>11</v>
      </c>
      <c r="E1" s="19" t="s">
        <v>15</v>
      </c>
      <c r="F1" s="19" t="s">
        <v>12</v>
      </c>
      <c r="G1" s="19" t="s">
        <v>16</v>
      </c>
      <c r="H1" s="19" t="s">
        <v>13</v>
      </c>
      <c r="I1" s="19" t="s">
        <v>10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13" t="s">
        <v>17</v>
      </c>
      <c r="B2" s="19" t="s">
        <v>38</v>
      </c>
      <c r="C2" s="8" t="n">
        <v>34</v>
      </c>
      <c r="D2" s="8" t="n">
        <v>763</v>
      </c>
      <c r="E2" s="8" t="n">
        <v>206</v>
      </c>
      <c r="F2" s="8" t="n">
        <v>1418</v>
      </c>
      <c r="G2" s="8" t="n">
        <v>225</v>
      </c>
      <c r="H2" s="8" t="n">
        <v>794</v>
      </c>
      <c r="I2" s="8" t="n">
        <f aca="false">SUM(C2:H2)</f>
        <v>3440</v>
      </c>
    </row>
    <row r="3" customFormat="false" ht="13.8" hidden="false" customHeight="false" outlineLevel="0" collapsed="false">
      <c r="A3" s="13" t="s">
        <v>17</v>
      </c>
      <c r="B3" s="19" t="s">
        <v>39</v>
      </c>
      <c r="C3" s="8" t="n">
        <v>36</v>
      </c>
      <c r="D3" s="8" t="n">
        <v>789</v>
      </c>
      <c r="E3" s="8" t="n">
        <v>185</v>
      </c>
      <c r="F3" s="8" t="n">
        <v>1449</v>
      </c>
      <c r="G3" s="8" t="n">
        <v>186</v>
      </c>
      <c r="H3" s="8" t="n">
        <v>795</v>
      </c>
      <c r="I3" s="8" t="n">
        <f aca="false">SUM(C3:H3)</f>
        <v>3440</v>
      </c>
    </row>
    <row r="4" customFormat="false" ht="13.8" hidden="false" customHeight="false" outlineLevel="0" collapsed="false">
      <c r="A4" s="13" t="s">
        <v>20</v>
      </c>
      <c r="B4" s="19" t="s">
        <v>38</v>
      </c>
      <c r="C4" s="8" t="n">
        <v>1597</v>
      </c>
      <c r="D4" s="8" t="n">
        <v>1001</v>
      </c>
      <c r="E4" s="8" t="n">
        <v>238</v>
      </c>
      <c r="F4" s="8" t="n">
        <v>542</v>
      </c>
      <c r="G4" s="8" t="n">
        <v>213</v>
      </c>
      <c r="H4" s="8" t="n">
        <v>1192</v>
      </c>
      <c r="I4" s="8" t="n">
        <f aca="false">SUM(C4:H4)</f>
        <v>4783</v>
      </c>
    </row>
    <row r="5" customFormat="false" ht="13.8" hidden="false" customHeight="false" outlineLevel="0" collapsed="false">
      <c r="A5" s="13" t="s">
        <v>20</v>
      </c>
      <c r="B5" s="19" t="s">
        <v>39</v>
      </c>
      <c r="C5" s="8" t="n">
        <v>1739</v>
      </c>
      <c r="D5" s="8" t="n">
        <v>992</v>
      </c>
      <c r="E5" s="8" t="n">
        <v>245</v>
      </c>
      <c r="F5" s="8" t="n">
        <v>499</v>
      </c>
      <c r="G5" s="8" t="n">
        <v>171</v>
      </c>
      <c r="H5" s="8" t="n">
        <v>1137</v>
      </c>
      <c r="I5" s="8" t="n">
        <f aca="false">SUM(C5:H5)</f>
        <v>4783</v>
      </c>
    </row>
    <row r="6" customFormat="false" ht="13.8" hidden="false" customHeight="false" outlineLevel="0" collapsed="false">
      <c r="A6" s="13" t="s">
        <v>21</v>
      </c>
      <c r="B6" s="19" t="s">
        <v>38</v>
      </c>
      <c r="C6" s="8" t="n">
        <v>563</v>
      </c>
      <c r="D6" s="8" t="n">
        <v>582</v>
      </c>
      <c r="E6" s="8" t="n">
        <v>158</v>
      </c>
      <c r="F6" s="8" t="n">
        <v>158</v>
      </c>
      <c r="G6" s="8" t="n">
        <v>149</v>
      </c>
      <c r="H6" s="8" t="n">
        <v>649</v>
      </c>
      <c r="I6" s="8" t="n">
        <f aca="false">SUM(C6:H6)</f>
        <v>2259</v>
      </c>
    </row>
    <row r="7" customFormat="false" ht="13.8" hidden="false" customHeight="false" outlineLevel="0" collapsed="false">
      <c r="A7" s="13" t="s">
        <v>21</v>
      </c>
      <c r="B7" s="19" t="s">
        <v>39</v>
      </c>
      <c r="C7" s="8" t="n">
        <v>595</v>
      </c>
      <c r="D7" s="8" t="n">
        <v>524</v>
      </c>
      <c r="E7" s="8" t="n">
        <v>165</v>
      </c>
      <c r="F7" s="8" t="n">
        <v>162</v>
      </c>
      <c r="G7" s="8" t="n">
        <v>170</v>
      </c>
      <c r="H7" s="8" t="n">
        <v>643</v>
      </c>
      <c r="I7" s="8" t="n">
        <f aca="false">SUM(C7:H7)</f>
        <v>2259</v>
      </c>
    </row>
    <row r="8" customFormat="false" ht="13.8" hidden="false" customHeight="false" outlineLevel="0" collapsed="false">
      <c r="A8" s="13" t="s">
        <v>25</v>
      </c>
      <c r="B8" s="19" t="s">
        <v>38</v>
      </c>
      <c r="C8" s="8" t="n">
        <v>9</v>
      </c>
      <c r="D8" s="8" t="n">
        <v>441</v>
      </c>
      <c r="E8" s="8" t="n">
        <v>187</v>
      </c>
      <c r="F8" s="8" t="n">
        <v>2599</v>
      </c>
      <c r="G8" s="8" t="n">
        <v>229</v>
      </c>
      <c r="H8" s="8" t="n">
        <v>459</v>
      </c>
      <c r="I8" s="8" t="n">
        <f aca="false">SUM(C8:H8)</f>
        <v>3924</v>
      </c>
    </row>
    <row r="9" customFormat="false" ht="13.8" hidden="false" customHeight="false" outlineLevel="0" collapsed="false">
      <c r="A9" s="13" t="s">
        <v>25</v>
      </c>
      <c r="B9" s="19" t="s">
        <v>39</v>
      </c>
      <c r="C9" s="8" t="n">
        <v>10</v>
      </c>
      <c r="D9" s="8" t="n">
        <v>470</v>
      </c>
      <c r="E9" s="8" t="n">
        <v>217</v>
      </c>
      <c r="F9" s="8" t="n">
        <v>2616</v>
      </c>
      <c r="G9" s="8" t="n">
        <v>205</v>
      </c>
      <c r="H9" s="8" t="n">
        <v>406</v>
      </c>
      <c r="I9" s="8" t="n">
        <f aca="false">SUM(C9:H9)</f>
        <v>3924</v>
      </c>
    </row>
    <row r="10" customFormat="false" ht="13.8" hidden="false" customHeight="false" outlineLevel="0" collapsed="false">
      <c r="A10" s="13" t="s">
        <v>26</v>
      </c>
      <c r="B10" s="19" t="s">
        <v>38</v>
      </c>
      <c r="C10" s="8" t="n">
        <v>24</v>
      </c>
      <c r="D10" s="8" t="n">
        <v>357</v>
      </c>
      <c r="E10" s="8" t="n">
        <v>118</v>
      </c>
      <c r="F10" s="8" t="n">
        <v>154</v>
      </c>
      <c r="G10" s="8" t="n">
        <v>104</v>
      </c>
      <c r="H10" s="8" t="n">
        <v>410</v>
      </c>
      <c r="I10" s="8" t="n">
        <f aca="false">SUM(C10:H10)</f>
        <v>1167</v>
      </c>
    </row>
    <row r="11" customFormat="false" ht="13.8" hidden="false" customHeight="false" outlineLevel="0" collapsed="false">
      <c r="A11" s="13" t="s">
        <v>26</v>
      </c>
      <c r="B11" s="19" t="s">
        <v>39</v>
      </c>
      <c r="C11" s="8" t="n">
        <v>13</v>
      </c>
      <c r="D11" s="8" t="n">
        <v>324</v>
      </c>
      <c r="E11" s="8" t="n">
        <v>130</v>
      </c>
      <c r="F11" s="8" t="n">
        <v>168</v>
      </c>
      <c r="G11" s="8" t="n">
        <v>99</v>
      </c>
      <c r="H11" s="8" t="n">
        <v>433</v>
      </c>
      <c r="I11" s="8" t="n">
        <f aca="false">SUM(C11:H11)</f>
        <v>1167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ColWidth="11.578125" defaultRowHeight="15" zeroHeight="false" outlineLevelRow="0" outlineLevelCol="0"/>
  <cols>
    <col collapsed="false" customWidth="true" hidden="false" outlineLevel="0" max="1" min="1" style="3" width="10.69"/>
    <col collapsed="false" customWidth="true" hidden="false" outlineLevel="0" max="28" min="2" style="3" width="7.67"/>
    <col collapsed="false" customWidth="false" hidden="false" outlineLevel="0" max="1002" min="29" style="3" width="11.57"/>
    <col collapsed="false" customWidth="false" hidden="false" outlineLevel="0" max="1014" min="1003" style="18" width="11.57"/>
    <col collapsed="false" customWidth="false" hidden="false" outlineLevel="0" max="1024" min="1015" style="18" width="11.52"/>
  </cols>
  <sheetData>
    <row r="1" customFormat="false" ht="15" hidden="false" customHeight="true" outlineLevel="0" collapsed="false">
      <c r="A1" s="3" t="s">
        <v>4</v>
      </c>
      <c r="B1" s="4" t="s">
        <v>1</v>
      </c>
      <c r="C1" s="4"/>
      <c r="D1" s="4"/>
      <c r="E1" s="4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4</v>
      </c>
      <c r="B2" s="4"/>
      <c r="C2" s="4"/>
      <c r="D2" s="4"/>
      <c r="E2" s="4" t="s">
        <v>5</v>
      </c>
      <c r="F2" s="4"/>
      <c r="G2" s="4"/>
      <c r="H2" s="4"/>
      <c r="I2" s="4"/>
      <c r="J2" s="4"/>
      <c r="K2" s="4" t="s">
        <v>6</v>
      </c>
      <c r="L2" s="4"/>
      <c r="M2" s="4"/>
      <c r="N2" s="4"/>
      <c r="O2" s="4"/>
      <c r="P2" s="4"/>
      <c r="Q2" s="4" t="s">
        <v>5</v>
      </c>
      <c r="R2" s="4"/>
      <c r="S2" s="4"/>
      <c r="T2" s="4"/>
      <c r="U2" s="4"/>
      <c r="V2" s="4"/>
      <c r="W2" s="4" t="s">
        <v>6</v>
      </c>
      <c r="X2" s="4"/>
      <c r="Y2" s="4"/>
      <c r="Z2" s="4"/>
      <c r="AA2" s="4"/>
      <c r="AB2" s="4"/>
    </row>
    <row r="3" customFormat="false" ht="15" hidden="false" customHeight="false" outlineLevel="0" collapsed="false">
      <c r="A3" s="5" t="s">
        <v>4</v>
      </c>
      <c r="B3" s="4"/>
      <c r="C3" s="4"/>
      <c r="D3" s="4"/>
      <c r="E3" s="4" t="s">
        <v>7</v>
      </c>
      <c r="F3" s="4"/>
      <c r="G3" s="4"/>
      <c r="H3" s="4" t="s">
        <v>8</v>
      </c>
      <c r="I3" s="4"/>
      <c r="J3" s="4"/>
      <c r="K3" s="4" t="s">
        <v>7</v>
      </c>
      <c r="L3" s="4"/>
      <c r="M3" s="4"/>
      <c r="N3" s="4" t="s">
        <v>8</v>
      </c>
      <c r="O3" s="4"/>
      <c r="P3" s="4"/>
      <c r="Q3" s="4" t="s">
        <v>7</v>
      </c>
      <c r="R3" s="4"/>
      <c r="S3" s="4"/>
      <c r="T3" s="4" t="s">
        <v>8</v>
      </c>
      <c r="U3" s="4"/>
      <c r="V3" s="4"/>
      <c r="W3" s="4" t="s">
        <v>7</v>
      </c>
      <c r="X3" s="4"/>
      <c r="Y3" s="4"/>
      <c r="Z3" s="4" t="s">
        <v>8</v>
      </c>
      <c r="AA3" s="4"/>
      <c r="AB3" s="4"/>
    </row>
    <row r="4" customFormat="false" ht="26.85" hidden="false" customHeight="false" outlineLevel="0" collapsed="false">
      <c r="A4" s="5" t="s">
        <v>9</v>
      </c>
      <c r="B4" s="3" t="s">
        <v>10</v>
      </c>
      <c r="C4" s="3" t="s">
        <v>7</v>
      </c>
      <c r="D4" s="3" t="s">
        <v>8</v>
      </c>
      <c r="E4" s="3" t="s">
        <v>11</v>
      </c>
      <c r="F4" s="3" t="s">
        <v>12</v>
      </c>
      <c r="G4" s="3" t="s">
        <v>13</v>
      </c>
      <c r="H4" s="3" t="s">
        <v>11</v>
      </c>
      <c r="I4" s="3" t="s">
        <v>12</v>
      </c>
      <c r="J4" s="3" t="s">
        <v>13</v>
      </c>
      <c r="K4" s="3" t="s">
        <v>11</v>
      </c>
      <c r="L4" s="3" t="s">
        <v>12</v>
      </c>
      <c r="M4" s="3" t="s">
        <v>13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14</v>
      </c>
      <c r="U4" s="3" t="s">
        <v>15</v>
      </c>
      <c r="V4" s="3" t="s">
        <v>16</v>
      </c>
      <c r="W4" s="3" t="s">
        <v>14</v>
      </c>
      <c r="X4" s="3" t="s">
        <v>15</v>
      </c>
      <c r="Y4" s="3" t="s">
        <v>16</v>
      </c>
      <c r="Z4" s="3" t="s">
        <v>14</v>
      </c>
      <c r="AA4" s="3" t="s">
        <v>15</v>
      </c>
      <c r="AB4" s="3" t="s">
        <v>16</v>
      </c>
    </row>
    <row r="5" customFormat="false" ht="15" hidden="false" customHeight="false" outlineLevel="0" collapsed="false">
      <c r="A5" s="3" t="s">
        <v>17</v>
      </c>
      <c r="B5" s="3" t="n">
        <f aca="false">SUM(C5:D5)</f>
        <v>4272</v>
      </c>
      <c r="C5" s="3" t="n">
        <v>832</v>
      </c>
      <c r="D5" s="3" t="n">
        <v>3440</v>
      </c>
      <c r="E5" s="3" t="n">
        <v>13</v>
      </c>
      <c r="F5" s="3" t="n">
        <v>37.9</v>
      </c>
      <c r="G5" s="3" t="n">
        <v>15.1</v>
      </c>
      <c r="H5" s="3" t="n">
        <v>14.3</v>
      </c>
      <c r="I5" s="3" t="n">
        <v>38.1</v>
      </c>
      <c r="J5" s="3" t="n">
        <v>14.7</v>
      </c>
      <c r="K5" s="3" t="n">
        <v>14.1</v>
      </c>
      <c r="L5" s="3" t="n">
        <v>38</v>
      </c>
      <c r="M5" s="3" t="n">
        <v>16.6</v>
      </c>
      <c r="N5" s="3" t="n">
        <v>14.2</v>
      </c>
      <c r="O5" s="3" t="n">
        <v>39.6</v>
      </c>
      <c r="P5" s="3" t="n">
        <v>14.5</v>
      </c>
      <c r="Q5" s="3" t="n">
        <v>0.1</v>
      </c>
      <c r="R5" s="3" t="n">
        <v>16.9</v>
      </c>
      <c r="S5" s="3" t="n">
        <v>16.9</v>
      </c>
      <c r="T5" s="3" t="n">
        <v>0.1</v>
      </c>
      <c r="U5" s="3" t="n">
        <v>16.6</v>
      </c>
      <c r="V5" s="3" t="n">
        <v>16.1</v>
      </c>
      <c r="W5" s="3" t="n">
        <v>0</v>
      </c>
      <c r="X5" s="3" t="n">
        <v>16</v>
      </c>
      <c r="Y5" s="3" t="n">
        <v>15.4</v>
      </c>
      <c r="Z5" s="3" t="n">
        <v>0.3</v>
      </c>
      <c r="AA5" s="3" t="n">
        <v>15.4</v>
      </c>
      <c r="AB5" s="3" t="n">
        <v>16.1</v>
      </c>
    </row>
    <row r="6" customFormat="false" ht="15" hidden="false" customHeight="false" outlineLevel="0" collapsed="false">
      <c r="A6" s="3" t="s">
        <v>25</v>
      </c>
      <c r="B6" s="3" t="n">
        <f aca="false">SUM(C6:D6)</f>
        <v>4590</v>
      </c>
      <c r="C6" s="3" t="n">
        <v>666</v>
      </c>
      <c r="D6" s="3" t="n">
        <v>3924</v>
      </c>
      <c r="E6" s="3" t="n">
        <v>15.9</v>
      </c>
      <c r="F6" s="3" t="n">
        <v>58.7</v>
      </c>
      <c r="G6" s="3" t="n">
        <v>14.3</v>
      </c>
      <c r="H6" s="3" t="n">
        <v>15.3</v>
      </c>
      <c r="I6" s="3" t="n">
        <v>59.1</v>
      </c>
      <c r="J6" s="3" t="n">
        <v>16</v>
      </c>
      <c r="K6" s="3" t="n">
        <v>16.1</v>
      </c>
      <c r="L6" s="3" t="n">
        <v>55.6</v>
      </c>
      <c r="M6" s="3" t="n">
        <v>17.1</v>
      </c>
      <c r="N6" s="3" t="n">
        <v>15.6</v>
      </c>
      <c r="O6" s="3" t="n">
        <v>60.4</v>
      </c>
      <c r="P6" s="3" t="n">
        <v>14.9</v>
      </c>
      <c r="Q6" s="3" t="n">
        <v>0.6</v>
      </c>
      <c r="R6" s="3" t="n">
        <v>5.4</v>
      </c>
      <c r="S6" s="3" t="n">
        <v>5.1</v>
      </c>
      <c r="T6" s="3" t="n">
        <v>0.8</v>
      </c>
      <c r="U6" s="3" t="n">
        <v>4.1</v>
      </c>
      <c r="V6" s="3" t="n">
        <v>4.8</v>
      </c>
      <c r="W6" s="3" t="n">
        <v>0.8</v>
      </c>
      <c r="X6" s="3" t="n">
        <v>5.3</v>
      </c>
      <c r="Y6" s="3" t="n">
        <v>5.3</v>
      </c>
      <c r="Z6" s="3" t="n">
        <v>0.9</v>
      </c>
      <c r="AA6" s="3" t="n">
        <v>4</v>
      </c>
      <c r="AB6" s="3" t="n">
        <v>4.1</v>
      </c>
    </row>
    <row r="7" customFormat="false" ht="15" hidden="false" customHeight="false" outlineLevel="0" collapsed="false">
      <c r="A7" s="3" t="s">
        <v>10</v>
      </c>
      <c r="B7" s="3" t="n">
        <f aca="false">SUM(B5:B6)</f>
        <v>8862</v>
      </c>
      <c r="C7" s="3" t="n">
        <f aca="false">SUM(C5:C6)</f>
        <v>1498</v>
      </c>
      <c r="D7" s="3" t="n">
        <f aca="false">SUM(D5:D6)</f>
        <v>7364</v>
      </c>
      <c r="E7" s="24" t="n">
        <f aca="false">AVERAGE(E5:E6)</f>
        <v>14.45</v>
      </c>
      <c r="F7" s="24" t="n">
        <f aca="false">AVERAGE(F5:F6)</f>
        <v>48.3</v>
      </c>
      <c r="G7" s="24" t="n">
        <f aca="false">AVERAGE(G5:G6)</f>
        <v>14.7</v>
      </c>
      <c r="H7" s="24" t="n">
        <f aca="false">AVERAGE(H5:H6)</f>
        <v>14.8</v>
      </c>
      <c r="I7" s="24" t="n">
        <f aca="false">AVERAGE(I5:I6)</f>
        <v>48.6</v>
      </c>
      <c r="J7" s="24" t="n">
        <f aca="false">AVERAGE(J5:J6)</f>
        <v>15.35</v>
      </c>
      <c r="K7" s="24" t="n">
        <f aca="false">AVERAGE(K5:K6)</f>
        <v>15.1</v>
      </c>
      <c r="L7" s="24" t="n">
        <f aca="false">AVERAGE(L5:L6)</f>
        <v>46.8</v>
      </c>
      <c r="M7" s="24" t="n">
        <f aca="false">AVERAGE(M5:M6)</f>
        <v>16.85</v>
      </c>
      <c r="N7" s="24" t="n">
        <f aca="false">AVERAGE(N5:N6)</f>
        <v>14.9</v>
      </c>
      <c r="O7" s="24" t="n">
        <f aca="false">AVERAGE(O5:O6)</f>
        <v>50</v>
      </c>
      <c r="P7" s="24" t="n">
        <f aca="false">AVERAGE(P5:P6)</f>
        <v>14.7</v>
      </c>
      <c r="Q7" s="24" t="n">
        <f aca="false">AVERAGE(Q5:Q6)</f>
        <v>0.35</v>
      </c>
      <c r="R7" s="24" t="n">
        <f aca="false">AVERAGE(R5:R6)</f>
        <v>11.15</v>
      </c>
      <c r="S7" s="24" t="n">
        <f aca="false">AVERAGE(S5:S6)</f>
        <v>11</v>
      </c>
      <c r="T7" s="24" t="n">
        <f aca="false">AVERAGE(T5:T6)</f>
        <v>0.45</v>
      </c>
      <c r="U7" s="24" t="n">
        <f aca="false">AVERAGE(U5:U6)</f>
        <v>10.35</v>
      </c>
      <c r="V7" s="24" t="n">
        <f aca="false">AVERAGE(V5:V6)</f>
        <v>10.45</v>
      </c>
      <c r="W7" s="24" t="n">
        <f aca="false">AVERAGE(W5:W6)</f>
        <v>0.4</v>
      </c>
      <c r="X7" s="24" t="n">
        <f aca="false">AVERAGE(X5:X6)</f>
        <v>10.65</v>
      </c>
      <c r="Y7" s="24" t="n">
        <f aca="false">AVERAGE(Y5:Y6)</f>
        <v>10.35</v>
      </c>
      <c r="Z7" s="24" t="n">
        <f aca="false">AVERAGE(Z5:Z6)</f>
        <v>0.6</v>
      </c>
      <c r="AA7" s="24" t="n">
        <f aca="false">AVERAGE(AA5:AA6)</f>
        <v>9.7</v>
      </c>
      <c r="AB7" s="24" t="n">
        <f aca="false">AVERAGE(AB5:AB6)</f>
        <v>10.1</v>
      </c>
    </row>
    <row r="9" customFormat="false" ht="15" hidden="false" customHeight="false" outlineLevel="0" collapsed="false">
      <c r="A9" s="18" t="s">
        <v>36</v>
      </c>
      <c r="B9" s="18" t="s">
        <v>37</v>
      </c>
      <c r="C9" s="3" t="s">
        <v>14</v>
      </c>
      <c r="D9" s="3" t="s">
        <v>11</v>
      </c>
      <c r="E9" s="3" t="s">
        <v>15</v>
      </c>
      <c r="F9" s="3" t="s">
        <v>12</v>
      </c>
      <c r="G9" s="3" t="s">
        <v>16</v>
      </c>
      <c r="H9" s="3" t="s">
        <v>13</v>
      </c>
    </row>
    <row r="10" customFormat="false" ht="15" hidden="false" customHeight="false" outlineLevel="0" collapsed="false">
      <c r="A10" s="18" t="s">
        <v>41</v>
      </c>
      <c r="B10" s="18" t="s">
        <v>38</v>
      </c>
      <c r="C10" s="6" t="n">
        <v>0.120192307692308</v>
      </c>
      <c r="D10" s="6" t="n">
        <v>12.9807692307692</v>
      </c>
      <c r="E10" s="6" t="n">
        <v>16.9471153846154</v>
      </c>
      <c r="F10" s="6" t="n">
        <v>37.8605769230769</v>
      </c>
      <c r="G10" s="6" t="n">
        <v>16.9471153846154</v>
      </c>
      <c r="H10" s="6" t="n">
        <v>15.1442307692308</v>
      </c>
    </row>
    <row r="11" customFormat="false" ht="15" hidden="false" customHeight="false" outlineLevel="0" collapsed="false">
      <c r="A11" s="18" t="s">
        <v>41</v>
      </c>
      <c r="B11" s="18" t="s">
        <v>39</v>
      </c>
      <c r="C11" s="6" t="n">
        <v>0</v>
      </c>
      <c r="D11" s="6" t="n">
        <v>14.0625</v>
      </c>
      <c r="E11" s="6" t="n">
        <v>15.9855769230769</v>
      </c>
      <c r="F11" s="6" t="n">
        <v>37.9807692307692</v>
      </c>
      <c r="G11" s="6" t="n">
        <v>15.3846153846154</v>
      </c>
      <c r="H11" s="6" t="n">
        <v>16.5865384615385</v>
      </c>
    </row>
    <row r="12" customFormat="false" ht="15" hidden="false" customHeight="false" outlineLevel="0" collapsed="false">
      <c r="A12" s="18" t="s">
        <v>42</v>
      </c>
      <c r="B12" s="18" t="s">
        <v>38</v>
      </c>
      <c r="C12" s="6" t="n">
        <v>0.145348837209302</v>
      </c>
      <c r="D12" s="6" t="n">
        <v>14.2732558139535</v>
      </c>
      <c r="E12" s="6" t="n">
        <v>16.5988372093023</v>
      </c>
      <c r="F12" s="6" t="n">
        <v>38.1395348837209</v>
      </c>
      <c r="G12" s="6" t="n">
        <v>16.1046511627907</v>
      </c>
      <c r="H12" s="6" t="n">
        <v>14.7383720930233</v>
      </c>
    </row>
    <row r="13" customFormat="false" ht="15" hidden="false" customHeight="false" outlineLevel="0" collapsed="false">
      <c r="A13" s="18" t="s">
        <v>42</v>
      </c>
      <c r="B13" s="18" t="s">
        <v>39</v>
      </c>
      <c r="C13" s="6" t="n">
        <v>0.261627906976744</v>
      </c>
      <c r="D13" s="6" t="n">
        <v>14.2151162790698</v>
      </c>
      <c r="E13" s="6" t="n">
        <v>15.3779069767442</v>
      </c>
      <c r="F13" s="6" t="n">
        <v>39.5639534883721</v>
      </c>
      <c r="G13" s="6" t="n">
        <v>16.0755813953488</v>
      </c>
      <c r="H13" s="6" t="n">
        <v>14.5058139534884</v>
      </c>
    </row>
    <row r="14" customFormat="false" ht="15" hidden="false" customHeight="false" outlineLevel="0" collapsed="false">
      <c r="A14" s="18" t="s">
        <v>43</v>
      </c>
      <c r="B14" s="18" t="s">
        <v>38</v>
      </c>
      <c r="C14" s="6" t="n">
        <v>0.600600600600601</v>
      </c>
      <c r="D14" s="6" t="n">
        <v>15.9159159159159</v>
      </c>
      <c r="E14" s="6" t="n">
        <v>5.40540540540541</v>
      </c>
      <c r="F14" s="6" t="n">
        <v>58.7087087087087</v>
      </c>
      <c r="G14" s="6" t="n">
        <v>5.10510510510511</v>
      </c>
      <c r="H14" s="6" t="n">
        <v>14.2642642642643</v>
      </c>
    </row>
    <row r="15" customFormat="false" ht="15" hidden="false" customHeight="false" outlineLevel="0" collapsed="false">
      <c r="A15" s="18" t="s">
        <v>43</v>
      </c>
      <c r="B15" s="18" t="s">
        <v>39</v>
      </c>
      <c r="C15" s="6" t="n">
        <v>0.750750750750751</v>
      </c>
      <c r="D15" s="6" t="n">
        <v>16.0660660660661</v>
      </c>
      <c r="E15" s="6" t="n">
        <v>5.25525525525526</v>
      </c>
      <c r="F15" s="6" t="n">
        <v>55.5555555555556</v>
      </c>
      <c r="G15" s="6" t="n">
        <v>5.25525525525526</v>
      </c>
      <c r="H15" s="6" t="n">
        <v>17.1171171171171</v>
      </c>
    </row>
    <row r="16" customFormat="false" ht="15" hidden="false" customHeight="false" outlineLevel="0" collapsed="false">
      <c r="A16" s="18" t="s">
        <v>44</v>
      </c>
      <c r="B16" s="18" t="s">
        <v>38</v>
      </c>
      <c r="C16" s="6" t="n">
        <v>0.790010193679918</v>
      </c>
      <c r="D16" s="6" t="n">
        <v>15.316004077472</v>
      </c>
      <c r="E16" s="6" t="n">
        <v>4.0519877675841</v>
      </c>
      <c r="F16" s="6" t="n">
        <v>59.0978593272171</v>
      </c>
      <c r="G16" s="6" t="n">
        <v>4.79102956167176</v>
      </c>
      <c r="H16" s="6" t="n">
        <v>15.9531090723751</v>
      </c>
    </row>
    <row r="17" customFormat="false" ht="15" hidden="false" customHeight="false" outlineLevel="0" collapsed="false">
      <c r="A17" s="18" t="s">
        <v>44</v>
      </c>
      <c r="B17" s="18" t="s">
        <v>39</v>
      </c>
      <c r="C17" s="6" t="n">
        <v>0.91743119266055</v>
      </c>
      <c r="D17" s="6" t="n">
        <v>15.5963302752294</v>
      </c>
      <c r="E17" s="6" t="n">
        <v>4.00101936799184</v>
      </c>
      <c r="F17" s="6" t="n">
        <v>60.4230377166157</v>
      </c>
      <c r="G17" s="6" t="n">
        <v>4.12844036697248</v>
      </c>
      <c r="H17" s="6" t="n">
        <v>14.9337410805301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B1:D1"/>
    <mergeCell ref="E1:P1"/>
    <mergeCell ref="Q1:AB1"/>
    <mergeCell ref="E2:J2"/>
    <mergeCell ref="K2:P2"/>
    <mergeCell ref="Q2:V2"/>
    <mergeCell ref="W2:AB2"/>
    <mergeCell ref="E3:G3"/>
    <mergeCell ref="H3:J3"/>
    <mergeCell ref="K3:M3"/>
    <mergeCell ref="N3:P3"/>
    <mergeCell ref="Q3:S3"/>
    <mergeCell ref="T3:V3"/>
    <mergeCell ref="W3:Y3"/>
    <mergeCell ref="Z3:AB3"/>
  </mergeCells>
  <conditionalFormatting sqref="E7:AB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10:H17">
    <cfRule type="cellIs" priority="3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6" activeCellId="0" sqref="B6"/>
    </sheetView>
  </sheetViews>
  <sheetFormatPr defaultColWidth="10.78515625" defaultRowHeight="13.8" zeroHeight="false" outlineLevelRow="0" outlineLevelCol="0"/>
  <cols>
    <col collapsed="false" customWidth="false" hidden="false" outlineLevel="0" max="1" min="1" style="19" width="10.77"/>
    <col collapsed="false" customWidth="true" hidden="false" outlineLevel="0" max="9" min="2" style="19" width="7.67"/>
    <col collapsed="false" customWidth="false" hidden="false" outlineLevel="0" max="1014" min="10" style="19" width="10.77"/>
    <col collapsed="false" customWidth="true" hidden="false" outlineLevel="0" max="1015" min="1015" style="9" width="11.57"/>
    <col collapsed="false" customWidth="true" hidden="false" outlineLevel="0" max="1024" min="1016" style="0" width="11.52"/>
  </cols>
  <sheetData>
    <row r="1" customFormat="false" ht="13.8" hidden="false" customHeight="false" outlineLevel="0" collapsed="false">
      <c r="A1" s="19" t="s">
        <v>36</v>
      </c>
      <c r="B1" s="19" t="s">
        <v>37</v>
      </c>
      <c r="C1" s="19" t="s">
        <v>14</v>
      </c>
      <c r="D1" s="19" t="s">
        <v>11</v>
      </c>
      <c r="E1" s="19" t="s">
        <v>15</v>
      </c>
      <c r="F1" s="19" t="s">
        <v>12</v>
      </c>
      <c r="G1" s="19" t="s">
        <v>16</v>
      </c>
      <c r="H1" s="19" t="s">
        <v>13</v>
      </c>
      <c r="I1" s="19" t="s">
        <v>10</v>
      </c>
    </row>
    <row r="2" customFormat="false" ht="13.8" hidden="false" customHeight="false" outlineLevel="0" collapsed="false">
      <c r="A2" s="13" t="s">
        <v>41</v>
      </c>
      <c r="B2" s="19" t="s">
        <v>38</v>
      </c>
      <c r="C2" s="21" t="n">
        <v>1</v>
      </c>
      <c r="D2" s="21" t="n">
        <v>108</v>
      </c>
      <c r="E2" s="21" t="n">
        <v>141</v>
      </c>
      <c r="F2" s="21" t="n">
        <v>315</v>
      </c>
      <c r="G2" s="21" t="n">
        <v>141</v>
      </c>
      <c r="H2" s="21" t="n">
        <v>126</v>
      </c>
      <c r="I2" s="22" t="n">
        <f aca="false">SUM(C2:H2)</f>
        <v>832</v>
      </c>
    </row>
    <row r="3" customFormat="false" ht="13.8" hidden="false" customHeight="false" outlineLevel="0" collapsed="false">
      <c r="A3" s="13" t="s">
        <v>41</v>
      </c>
      <c r="B3" s="19" t="s">
        <v>39</v>
      </c>
      <c r="C3" s="21" t="n">
        <v>0</v>
      </c>
      <c r="D3" s="21" t="n">
        <v>117</v>
      </c>
      <c r="E3" s="21" t="n">
        <v>133</v>
      </c>
      <c r="F3" s="21" t="n">
        <v>316</v>
      </c>
      <c r="G3" s="21" t="n">
        <v>128</v>
      </c>
      <c r="H3" s="21" t="n">
        <v>138</v>
      </c>
      <c r="I3" s="22" t="n">
        <f aca="false">SUM(C3:H3)</f>
        <v>832</v>
      </c>
    </row>
    <row r="4" customFormat="false" ht="13.8" hidden="false" customHeight="false" outlineLevel="0" collapsed="false">
      <c r="A4" s="13" t="s">
        <v>43</v>
      </c>
      <c r="B4" s="19" t="s">
        <v>38</v>
      </c>
      <c r="C4" s="21" t="n">
        <v>4</v>
      </c>
      <c r="D4" s="21" t="n">
        <v>106</v>
      </c>
      <c r="E4" s="21" t="n">
        <v>36</v>
      </c>
      <c r="F4" s="21" t="n">
        <v>391</v>
      </c>
      <c r="G4" s="21" t="n">
        <v>34</v>
      </c>
      <c r="H4" s="21" t="n">
        <v>95</v>
      </c>
      <c r="I4" s="22" t="n">
        <f aca="false">SUM(C4:H4)</f>
        <v>666</v>
      </c>
    </row>
    <row r="5" customFormat="false" ht="13.8" hidden="false" customHeight="false" outlineLevel="0" collapsed="false">
      <c r="A5" s="13" t="s">
        <v>43</v>
      </c>
      <c r="B5" s="19" t="s">
        <v>39</v>
      </c>
      <c r="C5" s="21" t="n">
        <v>5</v>
      </c>
      <c r="D5" s="21" t="n">
        <v>107</v>
      </c>
      <c r="E5" s="21" t="n">
        <v>35</v>
      </c>
      <c r="F5" s="21" t="n">
        <v>370</v>
      </c>
      <c r="G5" s="21" t="n">
        <v>35</v>
      </c>
      <c r="H5" s="21" t="n">
        <v>114</v>
      </c>
      <c r="I5" s="22" t="n">
        <f aca="false">SUM(C5:H5)</f>
        <v>666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6" activeCellId="0" sqref="A6"/>
    </sheetView>
  </sheetViews>
  <sheetFormatPr defaultColWidth="10.78515625" defaultRowHeight="13.8" zeroHeight="false" outlineLevelRow="0" outlineLevelCol="0"/>
  <cols>
    <col collapsed="false" customWidth="false" hidden="false" outlineLevel="0" max="1" min="1" style="19" width="10.77"/>
    <col collapsed="false" customWidth="true" hidden="false" outlineLevel="0" max="9" min="2" style="19" width="7.67"/>
    <col collapsed="false" customWidth="false" hidden="false" outlineLevel="0" max="1014" min="10" style="19" width="10.77"/>
    <col collapsed="false" customWidth="true" hidden="false" outlineLevel="0" max="1015" min="1015" style="9" width="11.57"/>
    <col collapsed="false" customWidth="true" hidden="false" outlineLevel="0" max="1024" min="1016" style="0" width="11.52"/>
  </cols>
  <sheetData>
    <row r="1" customFormat="false" ht="13.8" hidden="false" customHeight="false" outlineLevel="0" collapsed="false">
      <c r="A1" s="19" t="s">
        <v>36</v>
      </c>
      <c r="B1" s="19" t="s">
        <v>37</v>
      </c>
      <c r="C1" s="19" t="s">
        <v>14</v>
      </c>
      <c r="D1" s="19" t="s">
        <v>11</v>
      </c>
      <c r="E1" s="19" t="s">
        <v>15</v>
      </c>
      <c r="F1" s="19" t="s">
        <v>12</v>
      </c>
      <c r="G1" s="19" t="s">
        <v>16</v>
      </c>
      <c r="H1" s="19" t="s">
        <v>13</v>
      </c>
      <c r="I1" s="19" t="s">
        <v>10</v>
      </c>
    </row>
    <row r="2" customFormat="false" ht="13.8" hidden="false" customHeight="false" outlineLevel="0" collapsed="false">
      <c r="A2" s="13" t="s">
        <v>42</v>
      </c>
      <c r="B2" s="19" t="s">
        <v>38</v>
      </c>
      <c r="C2" s="21" t="n">
        <v>5</v>
      </c>
      <c r="D2" s="21" t="n">
        <v>491</v>
      </c>
      <c r="E2" s="21" t="n">
        <v>571</v>
      </c>
      <c r="F2" s="21" t="n">
        <v>1312</v>
      </c>
      <c r="G2" s="21" t="n">
        <v>554</v>
      </c>
      <c r="H2" s="21" t="n">
        <v>507</v>
      </c>
      <c r="I2" s="22" t="n">
        <f aca="false">SUM(C2:H2)</f>
        <v>3440</v>
      </c>
    </row>
    <row r="3" customFormat="false" ht="13.8" hidden="false" customHeight="false" outlineLevel="0" collapsed="false">
      <c r="A3" s="13" t="s">
        <v>42</v>
      </c>
      <c r="B3" s="19" t="s">
        <v>39</v>
      </c>
      <c r="C3" s="21" t="n">
        <v>9</v>
      </c>
      <c r="D3" s="21" t="n">
        <v>489</v>
      </c>
      <c r="E3" s="21" t="n">
        <v>529</v>
      </c>
      <c r="F3" s="21" t="n">
        <v>1361</v>
      </c>
      <c r="G3" s="21" t="n">
        <v>553</v>
      </c>
      <c r="H3" s="21" t="n">
        <v>499</v>
      </c>
      <c r="I3" s="22" t="n">
        <f aca="false">SUM(C3:H3)</f>
        <v>3440</v>
      </c>
    </row>
    <row r="4" customFormat="false" ht="13.8" hidden="false" customHeight="false" outlineLevel="0" collapsed="false">
      <c r="A4" s="13" t="s">
        <v>44</v>
      </c>
      <c r="B4" s="19" t="s">
        <v>38</v>
      </c>
      <c r="C4" s="21" t="n">
        <v>31</v>
      </c>
      <c r="D4" s="21" t="n">
        <v>601</v>
      </c>
      <c r="E4" s="21" t="n">
        <v>159</v>
      </c>
      <c r="F4" s="21" t="n">
        <v>2319</v>
      </c>
      <c r="G4" s="21" t="n">
        <v>188</v>
      </c>
      <c r="H4" s="21" t="n">
        <v>626</v>
      </c>
      <c r="I4" s="22" t="n">
        <f aca="false">SUM(C4:H4)</f>
        <v>3924</v>
      </c>
    </row>
    <row r="5" customFormat="false" ht="13.8" hidden="false" customHeight="false" outlineLevel="0" collapsed="false">
      <c r="A5" s="13" t="s">
        <v>44</v>
      </c>
      <c r="B5" s="19" t="s">
        <v>39</v>
      </c>
      <c r="C5" s="21" t="n">
        <v>36</v>
      </c>
      <c r="D5" s="21" t="n">
        <v>612</v>
      </c>
      <c r="E5" s="21" t="n">
        <v>157</v>
      </c>
      <c r="F5" s="21" t="n">
        <v>2371</v>
      </c>
      <c r="G5" s="21" t="n">
        <v>162</v>
      </c>
      <c r="H5" s="21" t="n">
        <v>586</v>
      </c>
      <c r="I5" s="22" t="n">
        <f aca="false">SUM(C5:H5)</f>
        <v>3924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78125" defaultRowHeight="13.2" zeroHeight="false" outlineLevelRow="0" outlineLevelCol="0"/>
  <cols>
    <col collapsed="false" customWidth="true" hidden="false" outlineLevel="0" max="1" min="1" style="8" width="13.06"/>
    <col collapsed="false" customWidth="true" hidden="false" outlineLevel="0" max="28" min="2" style="8" width="7.67"/>
    <col collapsed="false" customWidth="false" hidden="false" outlineLevel="0" max="996" min="29" style="8" width="11.57"/>
  </cols>
  <sheetData>
    <row r="1" customFormat="false" ht="15" hidden="false" customHeight="true" outlineLevel="0" collapsed="false">
      <c r="A1" s="3" t="s">
        <v>0</v>
      </c>
      <c r="B1" s="4" t="s">
        <v>1</v>
      </c>
      <c r="C1" s="4"/>
      <c r="D1" s="4"/>
      <c r="E1" s="4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4</v>
      </c>
      <c r="B2" s="4"/>
      <c r="C2" s="4"/>
      <c r="D2" s="4"/>
      <c r="E2" s="4" t="s">
        <v>5</v>
      </c>
      <c r="F2" s="4"/>
      <c r="G2" s="4"/>
      <c r="H2" s="4"/>
      <c r="I2" s="4"/>
      <c r="J2" s="4"/>
      <c r="K2" s="4" t="s">
        <v>6</v>
      </c>
      <c r="L2" s="4"/>
      <c r="M2" s="4"/>
      <c r="N2" s="4"/>
      <c r="O2" s="4"/>
      <c r="P2" s="4"/>
      <c r="Q2" s="4" t="s">
        <v>5</v>
      </c>
      <c r="R2" s="4"/>
      <c r="S2" s="4"/>
      <c r="T2" s="4"/>
      <c r="U2" s="4"/>
      <c r="V2" s="4"/>
      <c r="W2" s="4" t="s">
        <v>6</v>
      </c>
      <c r="X2" s="4"/>
      <c r="Y2" s="4"/>
      <c r="Z2" s="4"/>
      <c r="AA2" s="4"/>
      <c r="AB2" s="4"/>
    </row>
    <row r="3" customFormat="false" ht="15" hidden="false" customHeight="false" outlineLevel="0" collapsed="false">
      <c r="A3" s="5" t="s">
        <v>4</v>
      </c>
      <c r="B3" s="4"/>
      <c r="C3" s="4"/>
      <c r="D3" s="4"/>
      <c r="E3" s="4" t="s">
        <v>7</v>
      </c>
      <c r="F3" s="4"/>
      <c r="G3" s="4"/>
      <c r="H3" s="4" t="s">
        <v>8</v>
      </c>
      <c r="I3" s="4"/>
      <c r="J3" s="4"/>
      <c r="K3" s="4" t="s">
        <v>7</v>
      </c>
      <c r="L3" s="4"/>
      <c r="M3" s="4"/>
      <c r="N3" s="4" t="s">
        <v>8</v>
      </c>
      <c r="O3" s="4"/>
      <c r="P3" s="4"/>
      <c r="Q3" s="4" t="s">
        <v>7</v>
      </c>
      <c r="R3" s="4"/>
      <c r="S3" s="4"/>
      <c r="T3" s="4" t="s">
        <v>8</v>
      </c>
      <c r="U3" s="4"/>
      <c r="V3" s="4"/>
      <c r="W3" s="4" t="s">
        <v>7</v>
      </c>
      <c r="X3" s="4"/>
      <c r="Y3" s="4"/>
      <c r="Z3" s="4" t="s">
        <v>8</v>
      </c>
      <c r="AA3" s="4"/>
      <c r="AB3" s="4"/>
    </row>
    <row r="4" customFormat="false" ht="26.85" hidden="false" customHeight="false" outlineLevel="0" collapsed="false">
      <c r="A4" s="5" t="s">
        <v>9</v>
      </c>
      <c r="B4" s="3" t="s">
        <v>10</v>
      </c>
      <c r="C4" s="3" t="s">
        <v>7</v>
      </c>
      <c r="D4" s="3" t="s">
        <v>8</v>
      </c>
      <c r="E4" s="3" t="s">
        <v>11</v>
      </c>
      <c r="F4" s="3" t="s">
        <v>12</v>
      </c>
      <c r="G4" s="3" t="s">
        <v>13</v>
      </c>
      <c r="H4" s="3" t="s">
        <v>11</v>
      </c>
      <c r="I4" s="3" t="s">
        <v>12</v>
      </c>
      <c r="J4" s="3" t="s">
        <v>13</v>
      </c>
      <c r="K4" s="3" t="s">
        <v>11</v>
      </c>
      <c r="L4" s="3" t="s">
        <v>12</v>
      </c>
      <c r="M4" s="3" t="s">
        <v>13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14</v>
      </c>
      <c r="U4" s="3" t="s">
        <v>15</v>
      </c>
      <c r="V4" s="3" t="s">
        <v>16</v>
      </c>
      <c r="W4" s="3" t="s">
        <v>14</v>
      </c>
      <c r="X4" s="3" t="s">
        <v>15</v>
      </c>
      <c r="Y4" s="3" t="s">
        <v>16</v>
      </c>
      <c r="Z4" s="3" t="s">
        <v>14</v>
      </c>
      <c r="AA4" s="3" t="s">
        <v>15</v>
      </c>
      <c r="AB4" s="3" t="s">
        <v>16</v>
      </c>
      <c r="ALI4" s="8"/>
    </row>
    <row r="5" customFormat="false" ht="15" hidden="false" customHeight="false" outlineLevel="0" collapsed="false">
      <c r="A5" s="3" t="s">
        <v>17</v>
      </c>
      <c r="B5" s="3" t="n">
        <f aca="false">SUM(C5:D5)</f>
        <v>4272</v>
      </c>
      <c r="C5" s="3" t="n">
        <v>832</v>
      </c>
      <c r="D5" s="3" t="n">
        <v>3440</v>
      </c>
      <c r="E5" s="3" t="n">
        <v>0.1</v>
      </c>
      <c r="F5" s="3" t="n">
        <v>11.5</v>
      </c>
      <c r="G5" s="3" t="n">
        <v>0</v>
      </c>
      <c r="H5" s="3" t="n">
        <v>0</v>
      </c>
      <c r="I5" s="3" t="n">
        <v>7.9</v>
      </c>
      <c r="J5" s="3" t="n">
        <v>0</v>
      </c>
      <c r="K5" s="3" t="n">
        <v>0</v>
      </c>
      <c r="L5" s="3" t="n">
        <v>7.8</v>
      </c>
      <c r="M5" s="3" t="n">
        <v>0.2</v>
      </c>
      <c r="N5" s="3" t="n">
        <v>0.1</v>
      </c>
      <c r="O5" s="3" t="n">
        <v>8.2</v>
      </c>
      <c r="P5" s="3" t="n">
        <v>0.1</v>
      </c>
      <c r="Q5" s="3" t="n">
        <v>88.3</v>
      </c>
      <c r="R5" s="3" t="n">
        <v>0</v>
      </c>
      <c r="S5" s="3" t="n">
        <v>0</v>
      </c>
      <c r="T5" s="3" t="n">
        <v>92</v>
      </c>
      <c r="U5" s="3" t="n">
        <v>0</v>
      </c>
      <c r="V5" s="3" t="n">
        <v>0</v>
      </c>
      <c r="W5" s="3" t="n">
        <v>91.8</v>
      </c>
      <c r="X5" s="3" t="n">
        <v>0.1</v>
      </c>
      <c r="Y5" s="3" t="n">
        <v>0</v>
      </c>
      <c r="Z5" s="3" t="n">
        <v>91.7</v>
      </c>
      <c r="AA5" s="3" t="n">
        <v>0</v>
      </c>
      <c r="AB5" s="3" t="n">
        <v>0</v>
      </c>
      <c r="ALI5" s="25"/>
      <c r="ALJ5" s="25"/>
      <c r="ALK5" s="25"/>
      <c r="ALL5" s="25"/>
      <c r="ALM5" s="25"/>
      <c r="ALN5" s="25"/>
      <c r="ALO5" s="25"/>
      <c r="ALP5" s="25"/>
      <c r="ALQ5" s="25"/>
      <c r="ALR5" s="25"/>
      <c r="ALS5" s="25"/>
      <c r="ALT5" s="25"/>
      <c r="ALU5" s="25"/>
      <c r="ALV5" s="25"/>
      <c r="ALW5" s="25"/>
      <c r="ALX5" s="25"/>
      <c r="ALY5" s="25"/>
      <c r="ALZ5" s="25"/>
      <c r="AMA5" s="25"/>
      <c r="AMB5" s="25"/>
      <c r="AMC5" s="25"/>
      <c r="AMD5" s="25"/>
      <c r="AME5" s="25"/>
      <c r="AMF5" s="25"/>
      <c r="AMG5" s="25"/>
      <c r="AMH5" s="25"/>
      <c r="AMI5" s="25"/>
      <c r="AMJ5" s="25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B1:D1"/>
    <mergeCell ref="E1:P1"/>
    <mergeCell ref="Q1:AB1"/>
    <mergeCell ref="E2:J2"/>
    <mergeCell ref="K2:P2"/>
    <mergeCell ref="Q2:V2"/>
    <mergeCell ref="W2:AB2"/>
    <mergeCell ref="E3:G3"/>
    <mergeCell ref="H3:J3"/>
    <mergeCell ref="K3:M3"/>
    <mergeCell ref="N3:P3"/>
    <mergeCell ref="Q3:S3"/>
    <mergeCell ref="T3:V3"/>
    <mergeCell ref="W3:Y3"/>
    <mergeCell ref="Z3:AB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1.58984375" defaultRowHeight="13.8" zeroHeight="false" outlineLevelRow="0" outlineLevelCol="0"/>
  <cols>
    <col collapsed="false" customWidth="false" hidden="false" outlineLevel="0" max="1" min="1" style="19" width="11.57"/>
    <col collapsed="false" customWidth="true" hidden="false" outlineLevel="0" max="9" min="2" style="19" width="7.67"/>
    <col collapsed="false" customWidth="false" hidden="false" outlineLevel="0" max="1014" min="10" style="19" width="11.57"/>
    <col collapsed="false" customWidth="false" hidden="false" outlineLevel="0" max="1015" min="1015" style="9" width="11.57"/>
  </cols>
  <sheetData>
    <row r="1" customFormat="false" ht="13.8" hidden="false" customHeight="false" outlineLevel="0" collapsed="false">
      <c r="A1" s="19" t="s">
        <v>36</v>
      </c>
      <c r="B1" s="19" t="s">
        <v>37</v>
      </c>
      <c r="C1" s="19" t="s">
        <v>14</v>
      </c>
      <c r="D1" s="19" t="s">
        <v>11</v>
      </c>
      <c r="E1" s="19" t="s">
        <v>15</v>
      </c>
      <c r="F1" s="19" t="s">
        <v>12</v>
      </c>
      <c r="G1" s="19" t="s">
        <v>16</v>
      </c>
      <c r="H1" s="19" t="s">
        <v>13</v>
      </c>
      <c r="I1" s="19" t="s">
        <v>10</v>
      </c>
    </row>
    <row r="2" customFormat="false" ht="13.8" hidden="false" customHeight="false" outlineLevel="0" collapsed="false">
      <c r="A2" s="13" t="s">
        <v>41</v>
      </c>
      <c r="B2" s="19" t="s">
        <v>38</v>
      </c>
      <c r="C2" s="21" t="n">
        <v>735</v>
      </c>
      <c r="D2" s="21" t="n">
        <v>1</v>
      </c>
      <c r="E2" s="21" t="n">
        <v>0</v>
      </c>
      <c r="F2" s="21" t="n">
        <v>96</v>
      </c>
      <c r="G2" s="21" t="n">
        <v>0</v>
      </c>
      <c r="H2" s="21" t="n">
        <v>0</v>
      </c>
      <c r="I2" s="22" t="n">
        <f aca="false">SUM(C2:H2)</f>
        <v>832</v>
      </c>
    </row>
    <row r="3" customFormat="false" ht="13.8" hidden="false" customHeight="false" outlineLevel="0" collapsed="false">
      <c r="A3" s="13" t="s">
        <v>41</v>
      </c>
      <c r="B3" s="19" t="s">
        <v>39</v>
      </c>
      <c r="C3" s="21" t="n">
        <v>764</v>
      </c>
      <c r="D3" s="21" t="n">
        <v>0</v>
      </c>
      <c r="E3" s="21" t="n">
        <v>1</v>
      </c>
      <c r="F3" s="21" t="n">
        <v>65</v>
      </c>
      <c r="G3" s="21" t="n">
        <v>0</v>
      </c>
      <c r="H3" s="21" t="n">
        <v>2</v>
      </c>
      <c r="I3" s="22" t="n">
        <f aca="false">SUM(C3:H3)</f>
        <v>832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8984375" defaultRowHeight="13.8" zeroHeight="false" outlineLevelRow="0" outlineLevelCol="0"/>
  <cols>
    <col collapsed="false" customWidth="false" hidden="false" outlineLevel="0" max="1" min="1" style="19" width="11.57"/>
    <col collapsed="false" customWidth="true" hidden="false" outlineLevel="0" max="9" min="2" style="19" width="7.67"/>
    <col collapsed="false" customWidth="false" hidden="false" outlineLevel="0" max="1014" min="10" style="19" width="11.57"/>
    <col collapsed="false" customWidth="false" hidden="false" outlineLevel="0" max="1015" min="1015" style="9" width="11.57"/>
  </cols>
  <sheetData>
    <row r="1" customFormat="false" ht="13.8" hidden="false" customHeight="false" outlineLevel="0" collapsed="false">
      <c r="A1" s="19" t="s">
        <v>36</v>
      </c>
      <c r="B1" s="19" t="s">
        <v>37</v>
      </c>
      <c r="C1" s="19" t="s">
        <v>14</v>
      </c>
      <c r="D1" s="19" t="s">
        <v>11</v>
      </c>
      <c r="E1" s="19" t="s">
        <v>15</v>
      </c>
      <c r="F1" s="19" t="s">
        <v>12</v>
      </c>
      <c r="G1" s="19" t="s">
        <v>16</v>
      </c>
      <c r="H1" s="19" t="s">
        <v>13</v>
      </c>
      <c r="I1" s="19" t="s">
        <v>10</v>
      </c>
    </row>
    <row r="2" customFormat="false" ht="13.8" hidden="false" customHeight="false" outlineLevel="0" collapsed="false">
      <c r="A2" s="13" t="s">
        <v>42</v>
      </c>
      <c r="B2" s="19" t="s">
        <v>38</v>
      </c>
      <c r="C2" s="21" t="n">
        <v>3166</v>
      </c>
      <c r="D2" s="21" t="n">
        <v>1</v>
      </c>
      <c r="E2" s="21" t="n">
        <v>0</v>
      </c>
      <c r="F2" s="21" t="n">
        <v>273</v>
      </c>
      <c r="G2" s="21" t="n">
        <v>0</v>
      </c>
      <c r="H2" s="21" t="n">
        <v>0</v>
      </c>
      <c r="I2" s="22" t="n">
        <f aca="false">SUM(C2:H2)</f>
        <v>3440</v>
      </c>
    </row>
    <row r="3" customFormat="false" ht="13.8" hidden="false" customHeight="false" outlineLevel="0" collapsed="false">
      <c r="A3" s="13" t="s">
        <v>42</v>
      </c>
      <c r="B3" s="19" t="s">
        <v>39</v>
      </c>
      <c r="C3" s="21" t="n">
        <v>3155</v>
      </c>
      <c r="D3" s="21" t="n">
        <v>2</v>
      </c>
      <c r="E3" s="21" t="n">
        <v>0</v>
      </c>
      <c r="F3" s="21" t="n">
        <v>281</v>
      </c>
      <c r="G3" s="21" t="n">
        <v>0</v>
      </c>
      <c r="H3" s="21" t="n">
        <v>2</v>
      </c>
      <c r="I3" s="22" t="n">
        <f aca="false">SUM(C3:H3)</f>
        <v>3440</v>
      </c>
    </row>
    <row r="5" customFormat="false" ht="13.8" hidden="false" customHeight="false" outlineLevel="0" collapsed="false">
      <c r="A5" s="26"/>
    </row>
    <row r="6" customFormat="false" ht="13.8" hidden="false" customHeight="false" outlineLevel="0" collapsed="false">
      <c r="A6" s="26"/>
    </row>
  </sheetData>
  <mergeCells count="1">
    <mergeCell ref="A5:A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2024-10-06T17:58:53Z</dcterms:created>
  <dc:creator/>
  <dc:description/>
  <dc:language>en-IN</dc:language>
  <cp:lastModifiedBy/>
  <dcterms:modified xsi:type="dcterms:W3CDTF">2025-02-17T13:41:02Z</dcterms:modified>
  <cp:revision>209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